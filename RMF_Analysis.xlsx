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acob\Downloads\"/>
    </mc:Choice>
  </mc:AlternateContent>
  <xr:revisionPtr revIDLastSave="0" documentId="13_ncr:1_{4772AAA2-9302-4434-8A39-AE63FB40823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MF Analysis" sheetId="1" r:id="rId1"/>
    <sheet name="Segment Summary Pivot Table" sheetId="7" r:id="rId2"/>
  </sheets>
  <calcPr calcId="191029" concurrentCalc="0"/>
  <pivotCaches>
    <pivotCache cacheId="3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299" i="1" l="1"/>
  <c r="P300" i="1"/>
  <c r="P301" i="1"/>
  <c r="P302" i="1"/>
  <c r="P303" i="1"/>
  <c r="P304" i="1"/>
  <c r="P305" i="1"/>
  <c r="P306" i="1"/>
  <c r="P307" i="1"/>
  <c r="P308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" i="1"/>
  <c r="K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2" i="1"/>
  <c r="M17" i="1"/>
  <c r="M18" i="1"/>
  <c r="M19" i="1"/>
  <c r="M20" i="1"/>
  <c r="M16" i="1"/>
  <c r="M11" i="1"/>
  <c r="M12" i="1"/>
  <c r="M13" i="1"/>
  <c r="M10" i="1"/>
  <c r="M4" i="1"/>
  <c r="M5" i="1"/>
  <c r="M6" i="1"/>
  <c r="M3" i="1"/>
</calcChain>
</file>

<file path=xl/sharedStrings.xml><?xml version="1.0" encoding="utf-8"?>
<sst xmlns="http://schemas.openxmlformats.org/spreadsheetml/2006/main" count="22" uniqueCount="19">
  <si>
    <t>Customer #</t>
  </si>
  <si>
    <t>Quintile Date</t>
  </si>
  <si>
    <t>Quintile $ volume</t>
  </si>
  <si>
    <t>Date Quintiles</t>
  </si>
  <si>
    <t># Purchase Quintiles</t>
  </si>
  <si>
    <t>Volume Quintiles</t>
  </si>
  <si>
    <t>Last Purchase Date           (R)</t>
  </si>
  <si>
    <t># Purchases (F)</t>
  </si>
  <si>
    <t>Dollar volume purchases in the last quarter    (M)</t>
  </si>
  <si>
    <t>Quintile Start</t>
  </si>
  <si>
    <t>Ignore</t>
  </si>
  <si>
    <t>Upsell</t>
  </si>
  <si>
    <t>Contact</t>
  </si>
  <si>
    <t>Quintile # Purchase</t>
  </si>
  <si>
    <t>Rank</t>
  </si>
  <si>
    <t>Row Labels</t>
  </si>
  <si>
    <t>Grand Total</t>
  </si>
  <si>
    <t>Segment</t>
  </si>
  <si>
    <t>Count of # Purchases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</si>
</sst>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9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0" fillId="2" borderId="0" xfId="0" applyNumberFormat="1" applyFill="1" applyAlignment="1">
      <alignment horizontal="center"/>
    </xf>
    <xf numFmtId="1" fontId="0" fillId="2" borderId="0" xfId="1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0" fontId="9" fillId="4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ob Fink" refreshedDate="46190.500200578703" createdVersion="8" refreshedVersion="8" minRefreshableVersion="3" recordCount="307" xr:uid="{994CCF96-F15D-4C94-9BB4-9446F6EB2F84}">
  <cacheSource type="worksheet">
    <worksheetSource ref="C1:P308" sheet="RMF Analysis"/>
  </cacheSource>
  <cacheFields count="14">
    <cacheField name="# Purchases (F)" numFmtId="0">
      <sharedItems containsSemiMixedTypes="0" containsString="0" containsNumber="1" containsInteger="1" minValue="0" maxValue="10"/>
    </cacheField>
    <cacheField name="Dollar volume purchases in the last quarter    (M)" numFmtId="0">
      <sharedItems containsSemiMixedTypes="0" containsString="0" containsNumber="1" containsInteger="1" minValue="0" maxValue="1000"/>
    </cacheField>
    <cacheField name="Quintile Date" numFmtId="0">
      <sharedItems containsSemiMixedTypes="0" containsString="0" containsNumber="1" containsInteger="1" minValue="1" maxValue="4"/>
    </cacheField>
    <cacheField name="Quintile # Purchase" numFmtId="0">
      <sharedItems containsSemiMixedTypes="0" containsString="0" containsNumber="1" containsInteger="1" minValue="1" maxValue="4"/>
    </cacheField>
    <cacheField name="Quintile $ volume" numFmtId="0">
      <sharedItems containsSemiMixedTypes="0" containsString="0" containsNumber="1" containsInteger="1" minValue="1" maxValue="5"/>
    </cacheField>
    <cacheField name="Ignore" numFmtId="0">
      <sharedItems/>
    </cacheField>
    <cacheField name="Upsell" numFmtId="0">
      <sharedItems/>
    </cacheField>
    <cacheField name="Contact" numFmtId="0">
      <sharedItems/>
    </cacheField>
    <cacheField name="Field9" caption="Field9" numFmtId="0">
      <sharedItems containsBlank="1"/>
    </cacheField>
    <cacheField name="Quintile Start" numFmtId="0">
      <sharedItems containsString="0" containsBlank="1" containsNumber="1" minValue="0" maxValue="0.8"/>
    </cacheField>
    <cacheField name="Date Quintiles" numFmtId="0">
      <sharedItems containsDate="1" containsBlank="1" containsMixedTypes="1" minDate="1899-12-31T00:00:00" maxDate="1900-01-05T22:03:04"/>
    </cacheField>
    <cacheField name="Rank" numFmtId="0">
      <sharedItems containsString="0" containsBlank="1" containsNumber="1" containsInteger="1" minValue="1" maxValue="5"/>
    </cacheField>
    <cacheField name="Field13" caption="Field13" numFmtId="0">
      <sharedItems containsNonDate="0" containsString="0" containsBlank="1"/>
    </cacheField>
    <cacheField name="Segment" numFmtId="0">
      <sharedItems count="4">
        <s v=""/>
        <s v="Contact"/>
        <s v="Ignore"/>
        <s v="Upsel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">
  <r>
    <n v="1"/>
    <n v="1000"/>
    <n v="2"/>
    <n v="4"/>
    <n v="1"/>
    <s v=""/>
    <s v=""/>
    <s v=""/>
    <s v=""/>
    <n v="0"/>
    <m/>
    <n v="5"/>
    <m/>
    <x v="0"/>
  </r>
  <r>
    <n v="1"/>
    <n v="10"/>
    <n v="3"/>
    <n v="4"/>
    <n v="5"/>
    <s v=""/>
    <s v=""/>
    <s v=""/>
    <m/>
    <n v="0.2"/>
    <d v="2012-08-05T08:44:46"/>
    <n v="4"/>
    <m/>
    <x v="0"/>
  </r>
  <r>
    <n v="9"/>
    <n v="882"/>
    <n v="3"/>
    <n v="1"/>
    <n v="1"/>
    <s v=""/>
    <s v=""/>
    <s v=""/>
    <m/>
    <n v="0.4"/>
    <d v="2012-09-30T21:56:11"/>
    <n v="3"/>
    <m/>
    <x v="0"/>
  </r>
  <r>
    <n v="8"/>
    <n v="704"/>
    <n v="1"/>
    <n v="1"/>
    <n v="1"/>
    <s v=""/>
    <s v=""/>
    <s v=""/>
    <m/>
    <n v="0.6"/>
    <d v="2012-12-01T21:19:40"/>
    <n v="2"/>
    <m/>
    <x v="0"/>
  </r>
  <r>
    <n v="4"/>
    <n v="380"/>
    <n v="4"/>
    <n v="2"/>
    <n v="2"/>
    <s v=""/>
    <s v=""/>
    <s v="Contact"/>
    <m/>
    <n v="0.8"/>
    <d v="2013-02-01T01:47:00"/>
    <n v="1"/>
    <m/>
    <x v="1"/>
  </r>
  <r>
    <n v="9"/>
    <n v="621"/>
    <n v="1"/>
    <n v="1"/>
    <n v="1"/>
    <s v=""/>
    <s v=""/>
    <s v=""/>
    <m/>
    <m/>
    <m/>
    <m/>
    <m/>
    <x v="0"/>
  </r>
  <r>
    <n v="4"/>
    <n v="304"/>
    <n v="2"/>
    <n v="2"/>
    <n v="2"/>
    <s v=""/>
    <s v=""/>
    <s v=""/>
    <m/>
    <m/>
    <s v="# Purchase Quintiles"/>
    <m/>
    <m/>
    <x v="0"/>
  </r>
  <r>
    <n v="2"/>
    <n v="194"/>
    <n v="1"/>
    <n v="3"/>
    <n v="3"/>
    <s v=""/>
    <s v=""/>
    <s v=""/>
    <m/>
    <n v="0"/>
    <m/>
    <n v="5"/>
    <m/>
    <x v="0"/>
  </r>
  <r>
    <n v="5"/>
    <n v="280"/>
    <n v="3"/>
    <n v="2"/>
    <n v="2"/>
    <s v=""/>
    <s v=""/>
    <s v=""/>
    <m/>
    <n v="0.2"/>
    <n v="0"/>
    <n v="4"/>
    <m/>
    <x v="0"/>
  </r>
  <r>
    <n v="8"/>
    <n v="160"/>
    <n v="3"/>
    <n v="1"/>
    <n v="3"/>
    <s v=""/>
    <s v=""/>
    <s v=""/>
    <m/>
    <n v="0.4"/>
    <n v="2"/>
    <n v="3"/>
    <m/>
    <x v="0"/>
  </r>
  <r>
    <n v="3"/>
    <n v="207"/>
    <n v="2"/>
    <n v="3"/>
    <n v="3"/>
    <s v=""/>
    <s v=""/>
    <s v=""/>
    <m/>
    <n v="0.6"/>
    <n v="4"/>
    <n v="2"/>
    <m/>
    <x v="0"/>
  </r>
  <r>
    <n v="2"/>
    <n v="20"/>
    <n v="2"/>
    <n v="3"/>
    <n v="5"/>
    <s v=""/>
    <s v=""/>
    <s v=""/>
    <m/>
    <n v="0.8"/>
    <n v="6"/>
    <n v="1"/>
    <m/>
    <x v="0"/>
  </r>
  <r>
    <n v="8"/>
    <n v="616"/>
    <n v="1"/>
    <n v="1"/>
    <n v="1"/>
    <s v=""/>
    <s v=""/>
    <s v=""/>
    <m/>
    <m/>
    <m/>
    <m/>
    <m/>
    <x v="0"/>
  </r>
  <r>
    <n v="1"/>
    <n v="63"/>
    <n v="1"/>
    <n v="4"/>
    <n v="4"/>
    <s v=""/>
    <s v=""/>
    <s v=""/>
    <m/>
    <m/>
    <s v="Volume Quintiles"/>
    <m/>
    <m/>
    <x v="0"/>
  </r>
  <r>
    <n v="3"/>
    <n v="30"/>
    <n v="1"/>
    <n v="3"/>
    <n v="5"/>
    <s v=""/>
    <s v=""/>
    <s v=""/>
    <m/>
    <n v="0"/>
    <n v="0"/>
    <n v="5"/>
    <m/>
    <x v="0"/>
  </r>
  <r>
    <n v="6"/>
    <n v="558"/>
    <n v="1"/>
    <n v="1"/>
    <n v="1"/>
    <s v=""/>
    <s v=""/>
    <s v=""/>
    <m/>
    <n v="0.2"/>
    <n v="42"/>
    <n v="4"/>
    <m/>
    <x v="0"/>
  </r>
  <r>
    <n v="1"/>
    <n v="29"/>
    <n v="4"/>
    <n v="4"/>
    <n v="5"/>
    <s v="Ignore"/>
    <s v=""/>
    <s v=""/>
    <m/>
    <n v="0.4"/>
    <n v="140"/>
    <n v="3"/>
    <m/>
    <x v="2"/>
  </r>
  <r>
    <n v="7"/>
    <n v="658"/>
    <n v="4"/>
    <n v="1"/>
    <n v="1"/>
    <s v=""/>
    <s v=""/>
    <s v="Contact"/>
    <m/>
    <n v="0.6"/>
    <n v="219.6"/>
    <n v="2"/>
    <m/>
    <x v="1"/>
  </r>
  <r>
    <n v="2"/>
    <n v="152"/>
    <n v="1"/>
    <n v="3"/>
    <n v="3"/>
    <s v=""/>
    <s v=""/>
    <s v=""/>
    <m/>
    <n v="0.8"/>
    <n v="424.8"/>
    <n v="1"/>
    <m/>
    <x v="0"/>
  </r>
  <r>
    <n v="7"/>
    <n v="63"/>
    <n v="1"/>
    <n v="1"/>
    <n v="4"/>
    <s v=""/>
    <s v="Upsell"/>
    <s v=""/>
    <m/>
    <m/>
    <m/>
    <m/>
    <m/>
    <x v="3"/>
  </r>
  <r>
    <n v="1"/>
    <n v="46"/>
    <n v="1"/>
    <n v="4"/>
    <n v="4"/>
    <s v=""/>
    <s v=""/>
    <s v=""/>
    <m/>
    <m/>
    <m/>
    <m/>
    <m/>
    <x v="0"/>
  </r>
  <r>
    <n v="8"/>
    <n v="712"/>
    <n v="1"/>
    <n v="1"/>
    <n v="1"/>
    <s v=""/>
    <s v=""/>
    <s v=""/>
    <m/>
    <m/>
    <m/>
    <m/>
    <m/>
    <x v="0"/>
  </r>
  <r>
    <n v="4"/>
    <n v="40"/>
    <n v="1"/>
    <n v="2"/>
    <n v="5"/>
    <s v=""/>
    <s v="Upsell"/>
    <s v=""/>
    <m/>
    <m/>
    <m/>
    <m/>
    <m/>
    <x v="3"/>
  </r>
  <r>
    <n v="6"/>
    <n v="348"/>
    <n v="1"/>
    <n v="1"/>
    <n v="2"/>
    <s v=""/>
    <s v=""/>
    <s v=""/>
    <m/>
    <m/>
    <m/>
    <m/>
    <m/>
    <x v="0"/>
  </r>
  <r>
    <n v="9"/>
    <n v="342"/>
    <n v="1"/>
    <n v="1"/>
    <n v="2"/>
    <s v=""/>
    <s v=""/>
    <s v=""/>
    <m/>
    <m/>
    <m/>
    <m/>
    <m/>
    <x v="0"/>
  </r>
  <r>
    <n v="7"/>
    <n v="567"/>
    <n v="3"/>
    <n v="1"/>
    <n v="1"/>
    <s v=""/>
    <s v=""/>
    <s v=""/>
    <m/>
    <m/>
    <m/>
    <m/>
    <m/>
    <x v="0"/>
  </r>
  <r>
    <n v="5"/>
    <n v="170"/>
    <n v="2"/>
    <n v="2"/>
    <n v="3"/>
    <s v=""/>
    <s v=""/>
    <s v=""/>
    <m/>
    <m/>
    <m/>
    <m/>
    <m/>
    <x v="0"/>
  </r>
  <r>
    <n v="7"/>
    <n v="567"/>
    <n v="4"/>
    <n v="1"/>
    <n v="1"/>
    <s v=""/>
    <s v=""/>
    <s v="Contact"/>
    <m/>
    <m/>
    <m/>
    <m/>
    <m/>
    <x v="1"/>
  </r>
  <r>
    <n v="9"/>
    <n v="90"/>
    <n v="3"/>
    <n v="1"/>
    <n v="4"/>
    <s v=""/>
    <s v=""/>
    <s v=""/>
    <m/>
    <m/>
    <m/>
    <m/>
    <m/>
    <x v="0"/>
  </r>
  <r>
    <n v="9"/>
    <n v="585"/>
    <n v="4"/>
    <n v="1"/>
    <n v="1"/>
    <s v=""/>
    <s v=""/>
    <s v="Contact"/>
    <m/>
    <m/>
    <m/>
    <m/>
    <m/>
    <x v="1"/>
  </r>
  <r>
    <n v="4"/>
    <n v="128"/>
    <n v="4"/>
    <n v="2"/>
    <n v="4"/>
    <s v=""/>
    <s v=""/>
    <s v=""/>
    <m/>
    <m/>
    <m/>
    <m/>
    <m/>
    <x v="0"/>
  </r>
  <r>
    <n v="5"/>
    <n v="150"/>
    <n v="3"/>
    <n v="2"/>
    <n v="3"/>
    <s v=""/>
    <s v=""/>
    <s v=""/>
    <m/>
    <m/>
    <m/>
    <m/>
    <m/>
    <x v="0"/>
  </r>
  <r>
    <n v="9"/>
    <n v="144"/>
    <n v="4"/>
    <n v="1"/>
    <n v="3"/>
    <s v=""/>
    <s v=""/>
    <s v=""/>
    <m/>
    <m/>
    <m/>
    <m/>
    <m/>
    <x v="0"/>
  </r>
  <r>
    <n v="3"/>
    <n v="12"/>
    <n v="1"/>
    <n v="3"/>
    <n v="5"/>
    <s v=""/>
    <s v=""/>
    <s v=""/>
    <m/>
    <m/>
    <m/>
    <m/>
    <m/>
    <x v="0"/>
  </r>
  <r>
    <n v="9"/>
    <n v="855"/>
    <n v="1"/>
    <n v="1"/>
    <n v="1"/>
    <s v=""/>
    <s v=""/>
    <s v=""/>
    <m/>
    <m/>
    <m/>
    <m/>
    <m/>
    <x v="0"/>
  </r>
  <r>
    <n v="5"/>
    <n v="60"/>
    <n v="1"/>
    <n v="2"/>
    <n v="4"/>
    <s v=""/>
    <s v="Upsell"/>
    <s v=""/>
    <m/>
    <m/>
    <m/>
    <m/>
    <m/>
    <x v="3"/>
  </r>
  <r>
    <n v="7"/>
    <n v="217"/>
    <n v="1"/>
    <n v="1"/>
    <n v="3"/>
    <s v=""/>
    <s v=""/>
    <s v=""/>
    <m/>
    <m/>
    <m/>
    <m/>
    <m/>
    <x v="0"/>
  </r>
  <r>
    <n v="7"/>
    <n v="497"/>
    <n v="2"/>
    <n v="1"/>
    <n v="1"/>
    <s v=""/>
    <s v=""/>
    <s v=""/>
    <m/>
    <m/>
    <m/>
    <m/>
    <m/>
    <x v="0"/>
  </r>
  <r>
    <n v="5"/>
    <n v="50"/>
    <n v="1"/>
    <n v="2"/>
    <n v="4"/>
    <s v=""/>
    <s v="Upsell"/>
    <s v=""/>
    <m/>
    <m/>
    <m/>
    <m/>
    <m/>
    <x v="3"/>
  </r>
  <r>
    <n v="8"/>
    <n v="680"/>
    <n v="3"/>
    <n v="1"/>
    <n v="1"/>
    <s v=""/>
    <s v=""/>
    <s v=""/>
    <m/>
    <m/>
    <m/>
    <m/>
    <m/>
    <x v="0"/>
  </r>
  <r>
    <n v="6"/>
    <n v="348"/>
    <n v="3"/>
    <n v="1"/>
    <n v="2"/>
    <s v=""/>
    <s v=""/>
    <s v=""/>
    <m/>
    <m/>
    <m/>
    <m/>
    <m/>
    <x v="0"/>
  </r>
  <r>
    <n v="1"/>
    <n v="80"/>
    <n v="1"/>
    <n v="4"/>
    <n v="4"/>
    <s v=""/>
    <s v=""/>
    <s v=""/>
    <m/>
    <m/>
    <m/>
    <m/>
    <m/>
    <x v="0"/>
  </r>
  <r>
    <n v="5"/>
    <n v="40"/>
    <n v="1"/>
    <n v="2"/>
    <n v="5"/>
    <s v=""/>
    <s v="Upsell"/>
    <s v=""/>
    <m/>
    <m/>
    <m/>
    <m/>
    <m/>
    <x v="3"/>
  </r>
  <r>
    <n v="5"/>
    <n v="175"/>
    <n v="2"/>
    <n v="2"/>
    <n v="3"/>
    <s v=""/>
    <s v=""/>
    <s v=""/>
    <m/>
    <m/>
    <m/>
    <m/>
    <m/>
    <x v="0"/>
  </r>
  <r>
    <n v="3"/>
    <n v="297"/>
    <n v="3"/>
    <n v="3"/>
    <n v="2"/>
    <s v=""/>
    <s v=""/>
    <s v=""/>
    <m/>
    <m/>
    <m/>
    <m/>
    <m/>
    <x v="0"/>
  </r>
  <r>
    <n v="7"/>
    <n v="49"/>
    <n v="3"/>
    <n v="1"/>
    <n v="4"/>
    <s v=""/>
    <s v=""/>
    <s v=""/>
    <m/>
    <m/>
    <m/>
    <m/>
    <m/>
    <x v="0"/>
  </r>
  <r>
    <n v="9"/>
    <n v="828"/>
    <n v="4"/>
    <n v="1"/>
    <n v="1"/>
    <s v=""/>
    <s v=""/>
    <s v="Contact"/>
    <m/>
    <m/>
    <m/>
    <m/>
    <m/>
    <x v="1"/>
  </r>
  <r>
    <n v="5"/>
    <n v="140"/>
    <n v="1"/>
    <n v="2"/>
    <n v="3"/>
    <s v=""/>
    <s v=""/>
    <s v=""/>
    <m/>
    <m/>
    <m/>
    <m/>
    <m/>
    <x v="0"/>
  </r>
  <r>
    <n v="2"/>
    <n v="34"/>
    <n v="4"/>
    <n v="3"/>
    <n v="5"/>
    <s v=""/>
    <s v=""/>
    <s v=""/>
    <m/>
    <m/>
    <m/>
    <m/>
    <m/>
    <x v="0"/>
  </r>
  <r>
    <n v="6"/>
    <n v="60"/>
    <n v="2"/>
    <n v="1"/>
    <n v="4"/>
    <s v=""/>
    <s v="Upsell"/>
    <s v=""/>
    <m/>
    <m/>
    <m/>
    <m/>
    <m/>
    <x v="3"/>
  </r>
  <r>
    <n v="5"/>
    <n v="425"/>
    <n v="1"/>
    <n v="2"/>
    <n v="1"/>
    <s v=""/>
    <s v=""/>
    <s v=""/>
    <m/>
    <m/>
    <m/>
    <m/>
    <m/>
    <x v="0"/>
  </r>
  <r>
    <n v="7"/>
    <n v="427"/>
    <n v="2"/>
    <n v="1"/>
    <n v="1"/>
    <s v=""/>
    <s v=""/>
    <s v=""/>
    <m/>
    <m/>
    <m/>
    <m/>
    <m/>
    <x v="0"/>
  </r>
  <r>
    <n v="6"/>
    <n v="456"/>
    <n v="3"/>
    <n v="1"/>
    <n v="1"/>
    <s v=""/>
    <s v=""/>
    <s v=""/>
    <m/>
    <m/>
    <m/>
    <m/>
    <m/>
    <x v="0"/>
  </r>
  <r>
    <n v="7"/>
    <n v="567"/>
    <n v="1"/>
    <n v="1"/>
    <n v="1"/>
    <s v=""/>
    <s v=""/>
    <s v=""/>
    <m/>
    <m/>
    <m/>
    <m/>
    <m/>
    <x v="0"/>
  </r>
  <r>
    <n v="1"/>
    <n v="63"/>
    <n v="4"/>
    <n v="4"/>
    <n v="4"/>
    <s v="Ignore"/>
    <s v=""/>
    <s v=""/>
    <m/>
    <m/>
    <m/>
    <m/>
    <m/>
    <x v="2"/>
  </r>
  <r>
    <n v="4"/>
    <n v="64"/>
    <n v="1"/>
    <n v="2"/>
    <n v="4"/>
    <s v=""/>
    <s v="Upsell"/>
    <s v=""/>
    <m/>
    <m/>
    <m/>
    <m/>
    <m/>
    <x v="3"/>
  </r>
  <r>
    <n v="4"/>
    <n v="288"/>
    <n v="2"/>
    <n v="2"/>
    <n v="2"/>
    <s v=""/>
    <s v=""/>
    <s v=""/>
    <m/>
    <m/>
    <m/>
    <m/>
    <m/>
    <x v="0"/>
  </r>
  <r>
    <n v="6"/>
    <n v="402"/>
    <n v="1"/>
    <n v="1"/>
    <n v="2"/>
    <s v=""/>
    <s v=""/>
    <s v=""/>
    <m/>
    <m/>
    <m/>
    <m/>
    <m/>
    <x v="0"/>
  </r>
  <r>
    <n v="6"/>
    <n v="294"/>
    <n v="4"/>
    <n v="1"/>
    <n v="2"/>
    <s v=""/>
    <s v=""/>
    <s v="Contact"/>
    <m/>
    <m/>
    <m/>
    <m/>
    <m/>
    <x v="1"/>
  </r>
  <r>
    <n v="4"/>
    <n v="12"/>
    <n v="2"/>
    <n v="2"/>
    <n v="5"/>
    <s v=""/>
    <s v="Upsell"/>
    <s v=""/>
    <m/>
    <m/>
    <m/>
    <m/>
    <m/>
    <x v="3"/>
  </r>
  <r>
    <n v="7"/>
    <n v="133"/>
    <n v="1"/>
    <n v="1"/>
    <n v="4"/>
    <s v=""/>
    <s v="Upsell"/>
    <s v=""/>
    <m/>
    <m/>
    <m/>
    <m/>
    <m/>
    <x v="3"/>
  </r>
  <r>
    <n v="6"/>
    <n v="534"/>
    <n v="2"/>
    <n v="1"/>
    <n v="1"/>
    <s v=""/>
    <s v=""/>
    <s v=""/>
    <m/>
    <m/>
    <m/>
    <m/>
    <m/>
    <x v="0"/>
  </r>
  <r>
    <n v="5"/>
    <n v="460"/>
    <n v="2"/>
    <n v="2"/>
    <n v="1"/>
    <s v=""/>
    <s v=""/>
    <s v=""/>
    <m/>
    <m/>
    <m/>
    <m/>
    <m/>
    <x v="0"/>
  </r>
  <r>
    <n v="5"/>
    <n v="240"/>
    <n v="4"/>
    <n v="2"/>
    <n v="2"/>
    <s v=""/>
    <s v=""/>
    <s v="Contact"/>
    <m/>
    <m/>
    <m/>
    <m/>
    <m/>
    <x v="1"/>
  </r>
  <r>
    <n v="0"/>
    <n v="0"/>
    <n v="1"/>
    <n v="4"/>
    <n v="5"/>
    <s v=""/>
    <s v=""/>
    <s v=""/>
    <m/>
    <m/>
    <m/>
    <m/>
    <m/>
    <x v="0"/>
  </r>
  <r>
    <n v="5"/>
    <n v="150"/>
    <n v="4"/>
    <n v="2"/>
    <n v="3"/>
    <s v=""/>
    <s v=""/>
    <s v=""/>
    <m/>
    <m/>
    <m/>
    <m/>
    <m/>
    <x v="0"/>
  </r>
  <r>
    <n v="3"/>
    <n v="39"/>
    <n v="4"/>
    <n v="3"/>
    <n v="5"/>
    <s v=""/>
    <s v=""/>
    <s v=""/>
    <m/>
    <m/>
    <m/>
    <m/>
    <m/>
    <x v="0"/>
  </r>
  <r>
    <n v="9"/>
    <n v="450"/>
    <n v="1"/>
    <n v="1"/>
    <n v="1"/>
    <s v=""/>
    <s v=""/>
    <s v=""/>
    <m/>
    <m/>
    <m/>
    <m/>
    <m/>
    <x v="0"/>
  </r>
  <r>
    <n v="7"/>
    <n v="70"/>
    <n v="4"/>
    <n v="1"/>
    <n v="4"/>
    <s v=""/>
    <s v=""/>
    <s v=""/>
    <m/>
    <m/>
    <m/>
    <m/>
    <m/>
    <x v="0"/>
  </r>
  <r>
    <n v="7"/>
    <n v="371"/>
    <n v="1"/>
    <n v="1"/>
    <n v="2"/>
    <s v=""/>
    <s v=""/>
    <s v=""/>
    <m/>
    <m/>
    <m/>
    <m/>
    <m/>
    <x v="0"/>
  </r>
  <r>
    <n v="5"/>
    <n v="325"/>
    <n v="1"/>
    <n v="2"/>
    <n v="2"/>
    <s v=""/>
    <s v=""/>
    <s v=""/>
    <m/>
    <m/>
    <m/>
    <m/>
    <m/>
    <x v="0"/>
  </r>
  <r>
    <n v="1"/>
    <n v="81"/>
    <n v="4"/>
    <n v="4"/>
    <n v="4"/>
    <s v="Ignore"/>
    <s v=""/>
    <s v=""/>
    <m/>
    <m/>
    <m/>
    <m/>
    <m/>
    <x v="2"/>
  </r>
  <r>
    <n v="6"/>
    <n v="120"/>
    <n v="4"/>
    <n v="1"/>
    <n v="4"/>
    <s v=""/>
    <s v=""/>
    <s v=""/>
    <m/>
    <m/>
    <m/>
    <m/>
    <m/>
    <x v="0"/>
  </r>
  <r>
    <n v="7"/>
    <n v="350"/>
    <n v="4"/>
    <n v="1"/>
    <n v="2"/>
    <s v=""/>
    <s v=""/>
    <s v="Contact"/>
    <m/>
    <m/>
    <m/>
    <m/>
    <m/>
    <x v="1"/>
  </r>
  <r>
    <n v="2"/>
    <n v="2"/>
    <n v="4"/>
    <n v="3"/>
    <n v="5"/>
    <s v=""/>
    <s v=""/>
    <s v=""/>
    <m/>
    <m/>
    <m/>
    <m/>
    <m/>
    <x v="0"/>
  </r>
  <r>
    <n v="8"/>
    <n v="80"/>
    <n v="2"/>
    <n v="1"/>
    <n v="4"/>
    <s v=""/>
    <s v="Upsell"/>
    <s v=""/>
    <m/>
    <m/>
    <m/>
    <m/>
    <m/>
    <x v="3"/>
  </r>
  <r>
    <n v="6"/>
    <n v="168"/>
    <n v="2"/>
    <n v="1"/>
    <n v="3"/>
    <s v=""/>
    <s v=""/>
    <s v=""/>
    <m/>
    <m/>
    <m/>
    <m/>
    <m/>
    <x v="0"/>
  </r>
  <r>
    <n v="1"/>
    <n v="7"/>
    <n v="1"/>
    <n v="4"/>
    <n v="5"/>
    <s v=""/>
    <s v=""/>
    <s v=""/>
    <m/>
    <m/>
    <m/>
    <m/>
    <m/>
    <x v="0"/>
  </r>
  <r>
    <n v="4"/>
    <n v="312"/>
    <n v="3"/>
    <n v="2"/>
    <n v="2"/>
    <s v=""/>
    <s v=""/>
    <s v=""/>
    <m/>
    <m/>
    <m/>
    <m/>
    <m/>
    <x v="0"/>
  </r>
  <r>
    <n v="4"/>
    <n v="16"/>
    <n v="2"/>
    <n v="2"/>
    <n v="5"/>
    <s v=""/>
    <s v="Upsell"/>
    <s v=""/>
    <m/>
    <m/>
    <m/>
    <m/>
    <m/>
    <x v="3"/>
  </r>
  <r>
    <n v="6"/>
    <n v="390"/>
    <n v="1"/>
    <n v="1"/>
    <n v="2"/>
    <s v=""/>
    <s v=""/>
    <s v=""/>
    <m/>
    <m/>
    <m/>
    <m/>
    <m/>
    <x v="0"/>
  </r>
  <r>
    <n v="9"/>
    <n v="90"/>
    <n v="3"/>
    <n v="1"/>
    <n v="4"/>
    <s v=""/>
    <s v=""/>
    <s v=""/>
    <m/>
    <m/>
    <m/>
    <m/>
    <m/>
    <x v="0"/>
  </r>
  <r>
    <n v="3"/>
    <n v="141"/>
    <n v="4"/>
    <n v="3"/>
    <n v="3"/>
    <s v=""/>
    <s v=""/>
    <s v=""/>
    <m/>
    <m/>
    <m/>
    <m/>
    <m/>
    <x v="0"/>
  </r>
  <r>
    <n v="8"/>
    <n v="184"/>
    <n v="2"/>
    <n v="1"/>
    <n v="3"/>
    <s v=""/>
    <s v=""/>
    <s v=""/>
    <m/>
    <m/>
    <m/>
    <m/>
    <m/>
    <x v="0"/>
  </r>
  <r>
    <n v="6"/>
    <n v="120"/>
    <n v="1"/>
    <n v="1"/>
    <n v="4"/>
    <s v=""/>
    <s v="Upsell"/>
    <s v=""/>
    <m/>
    <m/>
    <m/>
    <m/>
    <m/>
    <x v="3"/>
  </r>
  <r>
    <n v="1"/>
    <n v="77"/>
    <n v="1"/>
    <n v="4"/>
    <n v="4"/>
    <s v=""/>
    <s v=""/>
    <s v=""/>
    <m/>
    <m/>
    <m/>
    <m/>
    <m/>
    <x v="0"/>
  </r>
  <r>
    <n v="5"/>
    <n v="255"/>
    <n v="1"/>
    <n v="2"/>
    <n v="2"/>
    <s v=""/>
    <s v=""/>
    <s v=""/>
    <m/>
    <m/>
    <m/>
    <m/>
    <m/>
    <x v="0"/>
  </r>
  <r>
    <n v="4"/>
    <n v="340"/>
    <n v="4"/>
    <n v="2"/>
    <n v="2"/>
    <s v=""/>
    <s v=""/>
    <s v="Contact"/>
    <m/>
    <m/>
    <m/>
    <m/>
    <m/>
    <x v="1"/>
  </r>
  <r>
    <n v="6"/>
    <n v="30"/>
    <n v="4"/>
    <n v="1"/>
    <n v="5"/>
    <s v=""/>
    <s v=""/>
    <s v=""/>
    <m/>
    <m/>
    <m/>
    <m/>
    <m/>
    <x v="0"/>
  </r>
  <r>
    <n v="6"/>
    <n v="444"/>
    <n v="1"/>
    <n v="1"/>
    <n v="1"/>
    <s v=""/>
    <s v=""/>
    <s v=""/>
    <m/>
    <m/>
    <m/>
    <m/>
    <m/>
    <x v="0"/>
  </r>
  <r>
    <n v="9"/>
    <n v="54"/>
    <n v="2"/>
    <n v="1"/>
    <n v="4"/>
    <s v=""/>
    <s v="Upsell"/>
    <s v=""/>
    <m/>
    <m/>
    <m/>
    <m/>
    <m/>
    <x v="3"/>
  </r>
  <r>
    <n v="9"/>
    <n v="108"/>
    <n v="1"/>
    <n v="1"/>
    <n v="4"/>
    <s v=""/>
    <s v="Upsell"/>
    <s v=""/>
    <m/>
    <m/>
    <m/>
    <m/>
    <m/>
    <x v="3"/>
  </r>
  <r>
    <n v="3"/>
    <n v="204"/>
    <n v="2"/>
    <n v="3"/>
    <n v="3"/>
    <s v=""/>
    <s v=""/>
    <s v=""/>
    <m/>
    <m/>
    <m/>
    <m/>
    <m/>
    <x v="0"/>
  </r>
  <r>
    <n v="2"/>
    <n v="122"/>
    <n v="2"/>
    <n v="3"/>
    <n v="4"/>
    <s v=""/>
    <s v=""/>
    <s v=""/>
    <m/>
    <m/>
    <m/>
    <m/>
    <m/>
    <x v="0"/>
  </r>
  <r>
    <n v="4"/>
    <n v="164"/>
    <n v="2"/>
    <n v="2"/>
    <n v="3"/>
    <s v=""/>
    <s v=""/>
    <s v=""/>
    <m/>
    <m/>
    <m/>
    <m/>
    <m/>
    <x v="0"/>
  </r>
  <r>
    <n v="2"/>
    <n v="8"/>
    <n v="1"/>
    <n v="3"/>
    <n v="5"/>
    <s v=""/>
    <s v=""/>
    <s v=""/>
    <m/>
    <m/>
    <m/>
    <m/>
    <m/>
    <x v="0"/>
  </r>
  <r>
    <n v="8"/>
    <n v="440"/>
    <n v="1"/>
    <n v="1"/>
    <n v="1"/>
    <s v=""/>
    <s v=""/>
    <s v=""/>
    <m/>
    <m/>
    <m/>
    <m/>
    <m/>
    <x v="0"/>
  </r>
  <r>
    <n v="8"/>
    <n v="352"/>
    <n v="1"/>
    <n v="1"/>
    <n v="2"/>
    <s v=""/>
    <s v=""/>
    <s v=""/>
    <m/>
    <m/>
    <m/>
    <m/>
    <m/>
    <x v="0"/>
  </r>
  <r>
    <n v="9"/>
    <n v="171"/>
    <n v="2"/>
    <n v="1"/>
    <n v="3"/>
    <s v=""/>
    <s v=""/>
    <s v=""/>
    <m/>
    <m/>
    <m/>
    <m/>
    <m/>
    <x v="0"/>
  </r>
  <r>
    <n v="8"/>
    <n v="520"/>
    <n v="1"/>
    <n v="1"/>
    <n v="1"/>
    <s v=""/>
    <s v=""/>
    <s v=""/>
    <m/>
    <m/>
    <m/>
    <m/>
    <m/>
    <x v="0"/>
  </r>
  <r>
    <n v="8"/>
    <n v="408"/>
    <n v="2"/>
    <n v="1"/>
    <n v="2"/>
    <s v=""/>
    <s v=""/>
    <s v=""/>
    <m/>
    <m/>
    <m/>
    <m/>
    <m/>
    <x v="0"/>
  </r>
  <r>
    <n v="1"/>
    <n v="100"/>
    <n v="3"/>
    <n v="4"/>
    <n v="4"/>
    <s v=""/>
    <s v=""/>
    <s v=""/>
    <m/>
    <m/>
    <m/>
    <m/>
    <m/>
    <x v="0"/>
  </r>
  <r>
    <n v="3"/>
    <n v="156"/>
    <n v="3"/>
    <n v="3"/>
    <n v="3"/>
    <s v=""/>
    <s v=""/>
    <s v=""/>
    <m/>
    <m/>
    <m/>
    <m/>
    <m/>
    <x v="0"/>
  </r>
  <r>
    <n v="4"/>
    <n v="308"/>
    <n v="1"/>
    <n v="2"/>
    <n v="2"/>
    <s v=""/>
    <s v=""/>
    <s v=""/>
    <m/>
    <m/>
    <m/>
    <m/>
    <m/>
    <x v="0"/>
  </r>
  <r>
    <n v="4"/>
    <n v="204"/>
    <n v="1"/>
    <n v="2"/>
    <n v="3"/>
    <s v=""/>
    <s v=""/>
    <s v=""/>
    <m/>
    <m/>
    <m/>
    <m/>
    <m/>
    <x v="0"/>
  </r>
  <r>
    <n v="7"/>
    <n v="392"/>
    <n v="1"/>
    <n v="1"/>
    <n v="2"/>
    <s v=""/>
    <s v=""/>
    <s v=""/>
    <m/>
    <m/>
    <m/>
    <m/>
    <m/>
    <x v="0"/>
  </r>
  <r>
    <n v="2"/>
    <n v="110"/>
    <n v="4"/>
    <n v="3"/>
    <n v="4"/>
    <s v=""/>
    <s v=""/>
    <s v=""/>
    <m/>
    <m/>
    <m/>
    <m/>
    <m/>
    <x v="0"/>
  </r>
  <r>
    <n v="1"/>
    <n v="65"/>
    <n v="2"/>
    <n v="4"/>
    <n v="4"/>
    <s v=""/>
    <s v=""/>
    <s v=""/>
    <m/>
    <m/>
    <m/>
    <m/>
    <m/>
    <x v="0"/>
  </r>
  <r>
    <n v="6"/>
    <n v="192"/>
    <n v="4"/>
    <n v="1"/>
    <n v="3"/>
    <s v=""/>
    <s v=""/>
    <s v=""/>
    <m/>
    <m/>
    <m/>
    <m/>
    <m/>
    <x v="0"/>
  </r>
  <r>
    <n v="0"/>
    <n v="0"/>
    <n v="1"/>
    <n v="4"/>
    <n v="5"/>
    <s v=""/>
    <s v=""/>
    <s v=""/>
    <m/>
    <m/>
    <m/>
    <m/>
    <m/>
    <x v="0"/>
  </r>
  <r>
    <n v="6"/>
    <n v="276"/>
    <n v="2"/>
    <n v="1"/>
    <n v="2"/>
    <s v=""/>
    <s v=""/>
    <s v=""/>
    <m/>
    <m/>
    <m/>
    <m/>
    <m/>
    <x v="0"/>
  </r>
  <r>
    <n v="5"/>
    <n v="355"/>
    <n v="2"/>
    <n v="2"/>
    <n v="2"/>
    <s v=""/>
    <s v=""/>
    <s v=""/>
    <m/>
    <m/>
    <m/>
    <m/>
    <m/>
    <x v="0"/>
  </r>
  <r>
    <n v="2"/>
    <n v="10"/>
    <n v="2"/>
    <n v="3"/>
    <n v="5"/>
    <s v=""/>
    <s v=""/>
    <s v=""/>
    <m/>
    <m/>
    <m/>
    <m/>
    <m/>
    <x v="0"/>
  </r>
  <r>
    <n v="5"/>
    <n v="470"/>
    <n v="2"/>
    <n v="2"/>
    <n v="1"/>
    <s v=""/>
    <s v=""/>
    <s v=""/>
    <m/>
    <m/>
    <m/>
    <m/>
    <m/>
    <x v="0"/>
  </r>
  <r>
    <n v="8"/>
    <n v="112"/>
    <n v="1"/>
    <n v="1"/>
    <n v="4"/>
    <s v=""/>
    <s v="Upsell"/>
    <s v=""/>
    <m/>
    <m/>
    <m/>
    <m/>
    <m/>
    <x v="3"/>
  </r>
  <r>
    <n v="2"/>
    <n v="50"/>
    <n v="1"/>
    <n v="3"/>
    <n v="4"/>
    <s v=""/>
    <s v=""/>
    <s v=""/>
    <m/>
    <m/>
    <m/>
    <m/>
    <m/>
    <x v="0"/>
  </r>
  <r>
    <n v="3"/>
    <n v="12"/>
    <n v="4"/>
    <n v="3"/>
    <n v="5"/>
    <s v=""/>
    <s v=""/>
    <s v=""/>
    <m/>
    <m/>
    <m/>
    <m/>
    <m/>
    <x v="0"/>
  </r>
  <r>
    <n v="6"/>
    <n v="498"/>
    <n v="3"/>
    <n v="1"/>
    <n v="1"/>
    <s v=""/>
    <s v=""/>
    <s v=""/>
    <m/>
    <m/>
    <m/>
    <m/>
    <m/>
    <x v="0"/>
  </r>
  <r>
    <n v="8"/>
    <n v="656"/>
    <n v="3"/>
    <n v="1"/>
    <n v="1"/>
    <s v=""/>
    <s v=""/>
    <s v=""/>
    <m/>
    <m/>
    <m/>
    <m/>
    <m/>
    <x v="0"/>
  </r>
  <r>
    <n v="5"/>
    <n v="185"/>
    <n v="2"/>
    <n v="2"/>
    <n v="3"/>
    <s v=""/>
    <s v=""/>
    <s v=""/>
    <m/>
    <m/>
    <m/>
    <m/>
    <m/>
    <x v="0"/>
  </r>
  <r>
    <n v="6"/>
    <n v="0"/>
    <n v="1"/>
    <n v="1"/>
    <n v="5"/>
    <s v=""/>
    <s v="Upsell"/>
    <s v=""/>
    <m/>
    <m/>
    <m/>
    <m/>
    <m/>
    <x v="3"/>
  </r>
  <r>
    <n v="2"/>
    <n v="20"/>
    <n v="3"/>
    <n v="3"/>
    <n v="5"/>
    <s v=""/>
    <s v=""/>
    <s v=""/>
    <m/>
    <m/>
    <m/>
    <m/>
    <m/>
    <x v="0"/>
  </r>
  <r>
    <n v="8"/>
    <n v="720"/>
    <n v="4"/>
    <n v="1"/>
    <n v="1"/>
    <s v=""/>
    <s v=""/>
    <s v="Contact"/>
    <m/>
    <m/>
    <m/>
    <m/>
    <m/>
    <x v="1"/>
  </r>
  <r>
    <n v="5"/>
    <n v="85"/>
    <n v="3"/>
    <n v="2"/>
    <n v="4"/>
    <s v=""/>
    <s v=""/>
    <s v=""/>
    <m/>
    <m/>
    <m/>
    <m/>
    <m/>
    <x v="0"/>
  </r>
  <r>
    <n v="1"/>
    <n v="84"/>
    <n v="4"/>
    <n v="4"/>
    <n v="4"/>
    <s v="Ignore"/>
    <s v=""/>
    <s v=""/>
    <m/>
    <m/>
    <m/>
    <m/>
    <m/>
    <x v="2"/>
  </r>
  <r>
    <n v="3"/>
    <n v="120"/>
    <n v="3"/>
    <n v="3"/>
    <n v="4"/>
    <s v=""/>
    <s v=""/>
    <s v=""/>
    <m/>
    <m/>
    <m/>
    <m/>
    <m/>
    <x v="0"/>
  </r>
  <r>
    <n v="4"/>
    <n v="140"/>
    <n v="1"/>
    <n v="2"/>
    <n v="3"/>
    <s v=""/>
    <s v=""/>
    <s v=""/>
    <m/>
    <m/>
    <m/>
    <m/>
    <m/>
    <x v="0"/>
  </r>
  <r>
    <n v="9"/>
    <n v="585"/>
    <n v="4"/>
    <n v="1"/>
    <n v="1"/>
    <s v=""/>
    <s v=""/>
    <s v="Contact"/>
    <m/>
    <m/>
    <m/>
    <m/>
    <m/>
    <x v="1"/>
  </r>
  <r>
    <n v="1"/>
    <n v="98"/>
    <n v="3"/>
    <n v="4"/>
    <n v="4"/>
    <s v=""/>
    <s v=""/>
    <s v=""/>
    <m/>
    <m/>
    <m/>
    <m/>
    <m/>
    <x v="0"/>
  </r>
  <r>
    <n v="5"/>
    <n v="170"/>
    <n v="2"/>
    <n v="2"/>
    <n v="3"/>
    <s v=""/>
    <s v=""/>
    <s v=""/>
    <m/>
    <m/>
    <m/>
    <m/>
    <m/>
    <x v="0"/>
  </r>
  <r>
    <n v="9"/>
    <n v="441"/>
    <n v="4"/>
    <n v="1"/>
    <n v="1"/>
    <s v=""/>
    <s v=""/>
    <s v="Contact"/>
    <m/>
    <m/>
    <m/>
    <m/>
    <m/>
    <x v="1"/>
  </r>
  <r>
    <n v="1"/>
    <n v="98"/>
    <n v="1"/>
    <n v="4"/>
    <n v="4"/>
    <s v=""/>
    <s v=""/>
    <s v=""/>
    <m/>
    <m/>
    <m/>
    <m/>
    <m/>
    <x v="0"/>
  </r>
  <r>
    <n v="7"/>
    <n v="679"/>
    <n v="1"/>
    <n v="1"/>
    <n v="1"/>
    <s v=""/>
    <s v=""/>
    <s v=""/>
    <m/>
    <m/>
    <m/>
    <m/>
    <m/>
    <x v="0"/>
  </r>
  <r>
    <n v="6"/>
    <n v="24"/>
    <n v="2"/>
    <n v="1"/>
    <n v="5"/>
    <s v=""/>
    <s v="Upsell"/>
    <s v=""/>
    <m/>
    <m/>
    <m/>
    <m/>
    <m/>
    <x v="3"/>
  </r>
  <r>
    <n v="5"/>
    <n v="190"/>
    <n v="3"/>
    <n v="2"/>
    <n v="3"/>
    <s v=""/>
    <s v=""/>
    <s v=""/>
    <m/>
    <m/>
    <m/>
    <m/>
    <m/>
    <x v="0"/>
  </r>
  <r>
    <n v="8"/>
    <n v="448"/>
    <n v="2"/>
    <n v="1"/>
    <n v="1"/>
    <s v=""/>
    <s v=""/>
    <s v=""/>
    <m/>
    <m/>
    <m/>
    <m/>
    <m/>
    <x v="0"/>
  </r>
  <r>
    <n v="4"/>
    <n v="240"/>
    <n v="3"/>
    <n v="2"/>
    <n v="2"/>
    <s v=""/>
    <s v=""/>
    <s v=""/>
    <m/>
    <m/>
    <m/>
    <m/>
    <m/>
    <x v="0"/>
  </r>
  <r>
    <n v="9"/>
    <n v="333"/>
    <n v="2"/>
    <n v="1"/>
    <n v="2"/>
    <s v=""/>
    <s v=""/>
    <s v=""/>
    <m/>
    <m/>
    <m/>
    <m/>
    <m/>
    <x v="0"/>
  </r>
  <r>
    <n v="8"/>
    <n v="472"/>
    <n v="1"/>
    <n v="1"/>
    <n v="1"/>
    <s v=""/>
    <s v=""/>
    <s v=""/>
    <m/>
    <m/>
    <m/>
    <m/>
    <m/>
    <x v="0"/>
  </r>
  <r>
    <n v="6"/>
    <n v="36"/>
    <n v="2"/>
    <n v="1"/>
    <n v="5"/>
    <s v=""/>
    <s v="Upsell"/>
    <s v=""/>
    <m/>
    <m/>
    <m/>
    <m/>
    <m/>
    <x v="3"/>
  </r>
  <r>
    <n v="5"/>
    <n v="150"/>
    <n v="1"/>
    <n v="2"/>
    <n v="3"/>
    <s v=""/>
    <s v=""/>
    <s v=""/>
    <m/>
    <m/>
    <m/>
    <m/>
    <m/>
    <x v="0"/>
  </r>
  <r>
    <n v="1"/>
    <n v="44"/>
    <n v="3"/>
    <n v="4"/>
    <n v="4"/>
    <s v=""/>
    <s v=""/>
    <s v=""/>
    <m/>
    <m/>
    <m/>
    <m/>
    <m/>
    <x v="0"/>
  </r>
  <r>
    <n v="7"/>
    <n v="637"/>
    <n v="2"/>
    <n v="1"/>
    <n v="1"/>
    <s v=""/>
    <s v=""/>
    <s v=""/>
    <m/>
    <m/>
    <m/>
    <m/>
    <m/>
    <x v="0"/>
  </r>
  <r>
    <n v="9"/>
    <n v="531"/>
    <n v="2"/>
    <n v="1"/>
    <n v="1"/>
    <s v=""/>
    <s v=""/>
    <s v=""/>
    <m/>
    <m/>
    <m/>
    <m/>
    <m/>
    <x v="0"/>
  </r>
  <r>
    <n v="8"/>
    <n v="488"/>
    <n v="1"/>
    <n v="1"/>
    <n v="1"/>
    <s v=""/>
    <s v=""/>
    <s v=""/>
    <m/>
    <m/>
    <m/>
    <m/>
    <m/>
    <x v="0"/>
  </r>
  <r>
    <n v="3"/>
    <n v="117"/>
    <n v="1"/>
    <n v="3"/>
    <n v="4"/>
    <s v=""/>
    <s v=""/>
    <s v=""/>
    <m/>
    <m/>
    <m/>
    <m/>
    <m/>
    <x v="0"/>
  </r>
  <r>
    <n v="5"/>
    <n v="355"/>
    <n v="2"/>
    <n v="2"/>
    <n v="2"/>
    <s v=""/>
    <s v=""/>
    <s v=""/>
    <m/>
    <m/>
    <m/>
    <m/>
    <m/>
    <x v="0"/>
  </r>
  <r>
    <n v="4"/>
    <n v="220"/>
    <n v="1"/>
    <n v="2"/>
    <n v="2"/>
    <s v=""/>
    <s v=""/>
    <s v=""/>
    <m/>
    <m/>
    <m/>
    <m/>
    <m/>
    <x v="0"/>
  </r>
  <r>
    <n v="8"/>
    <n v="456"/>
    <n v="4"/>
    <n v="1"/>
    <n v="1"/>
    <s v=""/>
    <s v=""/>
    <s v="Contact"/>
    <m/>
    <m/>
    <m/>
    <m/>
    <m/>
    <x v="1"/>
  </r>
  <r>
    <n v="4"/>
    <n v="340"/>
    <n v="1"/>
    <n v="2"/>
    <n v="2"/>
    <s v=""/>
    <s v=""/>
    <s v=""/>
    <m/>
    <m/>
    <m/>
    <m/>
    <m/>
    <x v="0"/>
  </r>
  <r>
    <n v="7"/>
    <n v="70"/>
    <n v="1"/>
    <n v="1"/>
    <n v="4"/>
    <s v=""/>
    <s v="Upsell"/>
    <s v=""/>
    <m/>
    <m/>
    <m/>
    <m/>
    <m/>
    <x v="3"/>
  </r>
  <r>
    <n v="4"/>
    <n v="4"/>
    <n v="1"/>
    <n v="2"/>
    <n v="5"/>
    <s v=""/>
    <s v="Upsell"/>
    <s v=""/>
    <m/>
    <m/>
    <m/>
    <m/>
    <m/>
    <x v="3"/>
  </r>
  <r>
    <n v="8"/>
    <n v="200"/>
    <n v="2"/>
    <n v="1"/>
    <n v="3"/>
    <s v=""/>
    <s v=""/>
    <s v=""/>
    <m/>
    <m/>
    <m/>
    <m/>
    <m/>
    <x v="0"/>
  </r>
  <r>
    <n v="8"/>
    <n v="424"/>
    <n v="4"/>
    <n v="1"/>
    <n v="2"/>
    <s v=""/>
    <s v=""/>
    <s v="Contact"/>
    <m/>
    <m/>
    <m/>
    <m/>
    <m/>
    <x v="1"/>
  </r>
  <r>
    <n v="6"/>
    <n v="160"/>
    <n v="2"/>
    <n v="1"/>
    <n v="3"/>
    <s v=""/>
    <s v=""/>
    <s v=""/>
    <m/>
    <m/>
    <m/>
    <m/>
    <m/>
    <x v="0"/>
  </r>
  <r>
    <n v="5"/>
    <n v="230"/>
    <n v="1"/>
    <n v="2"/>
    <n v="2"/>
    <s v=""/>
    <s v=""/>
    <s v=""/>
    <m/>
    <m/>
    <m/>
    <m/>
    <m/>
    <x v="0"/>
  </r>
  <r>
    <n v="2"/>
    <n v="62"/>
    <n v="3"/>
    <n v="3"/>
    <n v="4"/>
    <s v=""/>
    <s v=""/>
    <s v=""/>
    <m/>
    <m/>
    <m/>
    <m/>
    <m/>
    <x v="0"/>
  </r>
  <r>
    <n v="2"/>
    <n v="68"/>
    <n v="1"/>
    <n v="3"/>
    <n v="4"/>
    <s v=""/>
    <s v=""/>
    <s v=""/>
    <m/>
    <m/>
    <m/>
    <m/>
    <m/>
    <x v="0"/>
  </r>
  <r>
    <n v="1"/>
    <n v="57"/>
    <n v="4"/>
    <n v="4"/>
    <n v="4"/>
    <s v="Ignore"/>
    <s v=""/>
    <s v=""/>
    <m/>
    <m/>
    <m/>
    <m/>
    <m/>
    <x v="2"/>
  </r>
  <r>
    <n v="8"/>
    <n v="680"/>
    <n v="4"/>
    <n v="1"/>
    <n v="1"/>
    <s v=""/>
    <s v=""/>
    <s v="Contact"/>
    <m/>
    <m/>
    <m/>
    <m/>
    <m/>
    <x v="1"/>
  </r>
  <r>
    <n v="7"/>
    <n v="170"/>
    <n v="2"/>
    <n v="1"/>
    <n v="3"/>
    <s v=""/>
    <s v=""/>
    <s v=""/>
    <m/>
    <m/>
    <m/>
    <m/>
    <m/>
    <x v="0"/>
  </r>
  <r>
    <n v="2"/>
    <n v="128"/>
    <n v="2"/>
    <n v="3"/>
    <n v="4"/>
    <s v=""/>
    <s v=""/>
    <s v=""/>
    <m/>
    <m/>
    <m/>
    <m/>
    <m/>
    <x v="0"/>
  </r>
  <r>
    <n v="6"/>
    <n v="12"/>
    <n v="2"/>
    <n v="1"/>
    <n v="5"/>
    <s v=""/>
    <s v="Upsell"/>
    <s v=""/>
    <m/>
    <m/>
    <m/>
    <m/>
    <m/>
    <x v="3"/>
  </r>
  <r>
    <n v="8"/>
    <n v="544"/>
    <n v="1"/>
    <n v="1"/>
    <n v="1"/>
    <s v=""/>
    <s v=""/>
    <s v=""/>
    <m/>
    <m/>
    <m/>
    <m/>
    <m/>
    <x v="0"/>
  </r>
  <r>
    <n v="1"/>
    <n v="38"/>
    <n v="1"/>
    <n v="4"/>
    <n v="5"/>
    <s v=""/>
    <s v=""/>
    <s v=""/>
    <m/>
    <m/>
    <m/>
    <m/>
    <m/>
    <x v="0"/>
  </r>
  <r>
    <n v="8"/>
    <n v="180"/>
    <n v="1"/>
    <n v="1"/>
    <n v="3"/>
    <s v=""/>
    <s v=""/>
    <s v=""/>
    <m/>
    <m/>
    <m/>
    <m/>
    <m/>
    <x v="0"/>
  </r>
  <r>
    <n v="9"/>
    <n v="190"/>
    <n v="1"/>
    <n v="1"/>
    <n v="3"/>
    <s v=""/>
    <s v=""/>
    <s v=""/>
    <m/>
    <m/>
    <m/>
    <m/>
    <m/>
    <x v="0"/>
  </r>
  <r>
    <n v="10"/>
    <n v="200"/>
    <n v="1"/>
    <n v="1"/>
    <n v="3"/>
    <s v=""/>
    <s v=""/>
    <s v=""/>
    <m/>
    <m/>
    <m/>
    <m/>
    <m/>
    <x v="0"/>
  </r>
  <r>
    <n v="7"/>
    <n v="420"/>
    <n v="3"/>
    <n v="1"/>
    <n v="2"/>
    <s v=""/>
    <s v=""/>
    <s v=""/>
    <m/>
    <m/>
    <m/>
    <m/>
    <m/>
    <x v="0"/>
  </r>
  <r>
    <n v="5"/>
    <n v="80"/>
    <n v="1"/>
    <n v="2"/>
    <n v="4"/>
    <s v=""/>
    <s v="Upsell"/>
    <s v=""/>
    <m/>
    <m/>
    <m/>
    <m/>
    <m/>
    <x v="3"/>
  </r>
  <r>
    <n v="6"/>
    <n v="198"/>
    <n v="1"/>
    <n v="1"/>
    <n v="3"/>
    <s v=""/>
    <s v=""/>
    <s v=""/>
    <m/>
    <m/>
    <m/>
    <m/>
    <m/>
    <x v="0"/>
  </r>
  <r>
    <n v="9"/>
    <n v="18"/>
    <n v="1"/>
    <n v="1"/>
    <n v="5"/>
    <s v=""/>
    <s v="Upsell"/>
    <s v=""/>
    <m/>
    <m/>
    <m/>
    <m/>
    <m/>
    <x v="3"/>
  </r>
  <r>
    <n v="9"/>
    <n v="495"/>
    <n v="2"/>
    <n v="1"/>
    <n v="1"/>
    <s v=""/>
    <s v=""/>
    <s v=""/>
    <m/>
    <m/>
    <m/>
    <m/>
    <m/>
    <x v="0"/>
  </r>
  <r>
    <n v="9"/>
    <n v="270"/>
    <n v="4"/>
    <n v="1"/>
    <n v="2"/>
    <s v=""/>
    <s v=""/>
    <s v="Contact"/>
    <m/>
    <m/>
    <m/>
    <m/>
    <m/>
    <x v="1"/>
  </r>
  <r>
    <n v="4"/>
    <n v="0"/>
    <n v="1"/>
    <n v="2"/>
    <n v="5"/>
    <s v=""/>
    <s v="Upsell"/>
    <s v=""/>
    <m/>
    <m/>
    <m/>
    <m/>
    <m/>
    <x v="3"/>
  </r>
  <r>
    <n v="4"/>
    <n v="176"/>
    <n v="2"/>
    <n v="2"/>
    <n v="3"/>
    <s v=""/>
    <s v=""/>
    <s v=""/>
    <m/>
    <m/>
    <m/>
    <m/>
    <m/>
    <x v="0"/>
  </r>
  <r>
    <n v="5"/>
    <n v="20"/>
    <n v="1"/>
    <n v="2"/>
    <n v="5"/>
    <s v=""/>
    <s v="Upsell"/>
    <s v=""/>
    <m/>
    <m/>
    <m/>
    <m/>
    <m/>
    <x v="3"/>
  </r>
  <r>
    <n v="5"/>
    <n v="40"/>
    <n v="1"/>
    <n v="2"/>
    <n v="5"/>
    <s v=""/>
    <s v="Upsell"/>
    <s v=""/>
    <m/>
    <m/>
    <m/>
    <m/>
    <m/>
    <x v="3"/>
  </r>
  <r>
    <n v="6"/>
    <n v="42"/>
    <n v="4"/>
    <n v="1"/>
    <n v="4"/>
    <s v=""/>
    <s v=""/>
    <s v=""/>
    <m/>
    <m/>
    <m/>
    <m/>
    <m/>
    <x v="0"/>
  </r>
  <r>
    <n v="4"/>
    <n v="168"/>
    <n v="2"/>
    <n v="2"/>
    <n v="3"/>
    <s v=""/>
    <s v=""/>
    <s v=""/>
    <m/>
    <m/>
    <m/>
    <m/>
    <m/>
    <x v="0"/>
  </r>
  <r>
    <n v="9"/>
    <n v="837"/>
    <n v="1"/>
    <n v="1"/>
    <n v="1"/>
    <s v=""/>
    <s v=""/>
    <s v=""/>
    <m/>
    <m/>
    <m/>
    <m/>
    <m/>
    <x v="0"/>
  </r>
  <r>
    <n v="4"/>
    <n v="52"/>
    <n v="4"/>
    <n v="2"/>
    <n v="4"/>
    <s v=""/>
    <s v=""/>
    <s v=""/>
    <m/>
    <m/>
    <m/>
    <m/>
    <m/>
    <x v="0"/>
  </r>
  <r>
    <n v="9"/>
    <n v="855"/>
    <n v="2"/>
    <n v="1"/>
    <n v="1"/>
    <s v=""/>
    <s v=""/>
    <s v=""/>
    <m/>
    <m/>
    <m/>
    <m/>
    <m/>
    <x v="0"/>
  </r>
  <r>
    <n v="1"/>
    <n v="58"/>
    <n v="1"/>
    <n v="4"/>
    <n v="4"/>
    <s v=""/>
    <s v=""/>
    <s v=""/>
    <m/>
    <m/>
    <m/>
    <m/>
    <m/>
    <x v="0"/>
  </r>
  <r>
    <n v="1"/>
    <n v="17"/>
    <n v="1"/>
    <n v="4"/>
    <n v="5"/>
    <s v=""/>
    <s v=""/>
    <s v=""/>
    <m/>
    <m/>
    <m/>
    <m/>
    <m/>
    <x v="0"/>
  </r>
  <r>
    <n v="3"/>
    <n v="24"/>
    <n v="3"/>
    <n v="3"/>
    <n v="5"/>
    <s v=""/>
    <s v=""/>
    <s v=""/>
    <m/>
    <m/>
    <m/>
    <m/>
    <m/>
    <x v="0"/>
  </r>
  <r>
    <n v="6"/>
    <n v="456"/>
    <n v="3"/>
    <n v="1"/>
    <n v="1"/>
    <s v=""/>
    <s v=""/>
    <s v=""/>
    <m/>
    <m/>
    <m/>
    <m/>
    <m/>
    <x v="0"/>
  </r>
  <r>
    <n v="3"/>
    <n v="69"/>
    <n v="1"/>
    <n v="3"/>
    <n v="4"/>
    <s v=""/>
    <s v=""/>
    <s v=""/>
    <m/>
    <m/>
    <m/>
    <m/>
    <m/>
    <x v="0"/>
  </r>
  <r>
    <n v="5"/>
    <n v="435"/>
    <n v="1"/>
    <n v="2"/>
    <n v="1"/>
    <s v=""/>
    <s v=""/>
    <s v=""/>
    <m/>
    <m/>
    <m/>
    <m/>
    <m/>
    <x v="0"/>
  </r>
  <r>
    <n v="5"/>
    <n v="230"/>
    <n v="4"/>
    <n v="2"/>
    <n v="2"/>
    <s v=""/>
    <s v=""/>
    <s v="Contact"/>
    <m/>
    <m/>
    <m/>
    <m/>
    <m/>
    <x v="1"/>
  </r>
  <r>
    <n v="0"/>
    <n v="0"/>
    <n v="3"/>
    <n v="4"/>
    <n v="5"/>
    <s v=""/>
    <s v=""/>
    <s v=""/>
    <m/>
    <m/>
    <m/>
    <m/>
    <m/>
    <x v="0"/>
  </r>
  <r>
    <n v="2"/>
    <n v="4"/>
    <n v="1"/>
    <n v="3"/>
    <n v="5"/>
    <s v=""/>
    <s v=""/>
    <s v=""/>
    <m/>
    <m/>
    <m/>
    <m/>
    <m/>
    <x v="0"/>
  </r>
  <r>
    <n v="1"/>
    <n v="31"/>
    <n v="3"/>
    <n v="4"/>
    <n v="5"/>
    <s v=""/>
    <s v=""/>
    <s v=""/>
    <m/>
    <m/>
    <m/>
    <m/>
    <m/>
    <x v="0"/>
  </r>
  <r>
    <n v="8"/>
    <n v="72"/>
    <n v="3"/>
    <n v="1"/>
    <n v="4"/>
    <s v=""/>
    <s v=""/>
    <s v=""/>
    <m/>
    <m/>
    <m/>
    <m/>
    <m/>
    <x v="0"/>
  </r>
  <r>
    <n v="7"/>
    <n v="301"/>
    <n v="1"/>
    <n v="1"/>
    <n v="2"/>
    <s v=""/>
    <s v=""/>
    <s v=""/>
    <m/>
    <m/>
    <m/>
    <m/>
    <m/>
    <x v="0"/>
  </r>
  <r>
    <n v="2"/>
    <n v="130"/>
    <n v="3"/>
    <n v="3"/>
    <n v="4"/>
    <s v=""/>
    <s v=""/>
    <s v=""/>
    <m/>
    <m/>
    <m/>
    <m/>
    <m/>
    <x v="0"/>
  </r>
  <r>
    <n v="3"/>
    <n v="252"/>
    <n v="4"/>
    <n v="3"/>
    <n v="2"/>
    <s v=""/>
    <s v=""/>
    <s v=""/>
    <m/>
    <m/>
    <m/>
    <m/>
    <m/>
    <x v="0"/>
  </r>
  <r>
    <n v="8"/>
    <n v="184"/>
    <n v="4"/>
    <n v="1"/>
    <n v="3"/>
    <s v=""/>
    <s v=""/>
    <s v=""/>
    <m/>
    <m/>
    <m/>
    <m/>
    <m/>
    <x v="0"/>
  </r>
  <r>
    <n v="0"/>
    <n v="0"/>
    <n v="1"/>
    <n v="4"/>
    <n v="5"/>
    <s v=""/>
    <s v=""/>
    <s v=""/>
    <m/>
    <m/>
    <m/>
    <m/>
    <m/>
    <x v="0"/>
  </r>
  <r>
    <n v="9"/>
    <n v="477"/>
    <n v="4"/>
    <n v="1"/>
    <n v="1"/>
    <s v=""/>
    <s v=""/>
    <s v="Contact"/>
    <m/>
    <m/>
    <m/>
    <m/>
    <m/>
    <x v="1"/>
  </r>
  <r>
    <n v="9"/>
    <n v="711"/>
    <n v="2"/>
    <n v="1"/>
    <n v="1"/>
    <s v=""/>
    <s v=""/>
    <s v=""/>
    <m/>
    <m/>
    <m/>
    <m/>
    <m/>
    <x v="0"/>
  </r>
  <r>
    <n v="3"/>
    <n v="258"/>
    <n v="3"/>
    <n v="3"/>
    <n v="2"/>
    <s v=""/>
    <s v=""/>
    <s v=""/>
    <m/>
    <m/>
    <m/>
    <m/>
    <m/>
    <x v="0"/>
  </r>
  <r>
    <n v="0"/>
    <n v="0"/>
    <n v="4"/>
    <n v="4"/>
    <n v="5"/>
    <s v="Ignore"/>
    <s v=""/>
    <s v=""/>
    <m/>
    <m/>
    <m/>
    <m/>
    <m/>
    <x v="2"/>
  </r>
  <r>
    <n v="3"/>
    <n v="147"/>
    <n v="1"/>
    <n v="3"/>
    <n v="3"/>
    <s v=""/>
    <s v=""/>
    <s v=""/>
    <m/>
    <m/>
    <m/>
    <m/>
    <m/>
    <x v="0"/>
  </r>
  <r>
    <n v="7"/>
    <n v="189"/>
    <n v="3"/>
    <n v="1"/>
    <n v="3"/>
    <s v=""/>
    <s v=""/>
    <s v=""/>
    <m/>
    <m/>
    <m/>
    <m/>
    <m/>
    <x v="0"/>
  </r>
  <r>
    <n v="8"/>
    <n v="104"/>
    <n v="2"/>
    <n v="1"/>
    <n v="4"/>
    <s v=""/>
    <s v="Upsell"/>
    <s v=""/>
    <m/>
    <m/>
    <m/>
    <m/>
    <m/>
    <x v="3"/>
  </r>
  <r>
    <n v="5"/>
    <n v="400"/>
    <n v="1"/>
    <n v="2"/>
    <n v="2"/>
    <s v=""/>
    <s v=""/>
    <s v=""/>
    <m/>
    <m/>
    <m/>
    <m/>
    <m/>
    <x v="0"/>
  </r>
  <r>
    <n v="2"/>
    <n v="190"/>
    <n v="1"/>
    <n v="3"/>
    <n v="3"/>
    <s v=""/>
    <s v=""/>
    <s v=""/>
    <m/>
    <m/>
    <m/>
    <m/>
    <m/>
    <x v="0"/>
  </r>
  <r>
    <n v="8"/>
    <n v="608"/>
    <n v="1"/>
    <n v="1"/>
    <n v="1"/>
    <s v=""/>
    <s v=""/>
    <s v=""/>
    <m/>
    <m/>
    <m/>
    <m/>
    <m/>
    <x v="0"/>
  </r>
  <r>
    <n v="4"/>
    <n v="392"/>
    <n v="4"/>
    <n v="2"/>
    <n v="2"/>
    <s v=""/>
    <s v=""/>
    <s v="Contact"/>
    <m/>
    <m/>
    <m/>
    <m/>
    <m/>
    <x v="1"/>
  </r>
  <r>
    <n v="7"/>
    <n v="175"/>
    <n v="2"/>
    <n v="1"/>
    <n v="3"/>
    <s v=""/>
    <s v=""/>
    <s v=""/>
    <m/>
    <m/>
    <m/>
    <m/>
    <m/>
    <x v="0"/>
  </r>
  <r>
    <n v="9"/>
    <n v="99"/>
    <n v="3"/>
    <n v="1"/>
    <n v="4"/>
    <s v=""/>
    <s v=""/>
    <s v=""/>
    <m/>
    <m/>
    <m/>
    <m/>
    <m/>
    <x v="0"/>
  </r>
  <r>
    <n v="5"/>
    <n v="55"/>
    <n v="4"/>
    <n v="2"/>
    <n v="4"/>
    <s v=""/>
    <s v=""/>
    <s v=""/>
    <m/>
    <m/>
    <m/>
    <m/>
    <m/>
    <x v="0"/>
  </r>
  <r>
    <n v="1"/>
    <n v="22"/>
    <n v="1"/>
    <n v="4"/>
    <n v="5"/>
    <s v=""/>
    <s v=""/>
    <s v=""/>
    <m/>
    <m/>
    <m/>
    <m/>
    <m/>
    <x v="0"/>
  </r>
  <r>
    <n v="4"/>
    <n v="32"/>
    <n v="1"/>
    <n v="2"/>
    <n v="5"/>
    <s v=""/>
    <s v="Upsell"/>
    <s v=""/>
    <m/>
    <m/>
    <m/>
    <m/>
    <m/>
    <x v="3"/>
  </r>
  <r>
    <n v="4"/>
    <n v="144"/>
    <n v="2"/>
    <n v="2"/>
    <n v="3"/>
    <s v=""/>
    <s v=""/>
    <s v=""/>
    <m/>
    <m/>
    <m/>
    <m/>
    <m/>
    <x v="0"/>
  </r>
  <r>
    <n v="3"/>
    <n v="174"/>
    <n v="4"/>
    <n v="3"/>
    <n v="3"/>
    <s v=""/>
    <s v=""/>
    <s v=""/>
    <m/>
    <m/>
    <m/>
    <m/>
    <m/>
    <x v="0"/>
  </r>
  <r>
    <n v="6"/>
    <n v="420"/>
    <n v="3"/>
    <n v="1"/>
    <n v="2"/>
    <s v=""/>
    <s v=""/>
    <s v=""/>
    <m/>
    <m/>
    <m/>
    <m/>
    <m/>
    <x v="0"/>
  </r>
  <r>
    <n v="7"/>
    <n v="168"/>
    <n v="3"/>
    <n v="1"/>
    <n v="3"/>
    <s v=""/>
    <s v=""/>
    <s v=""/>
    <m/>
    <m/>
    <m/>
    <m/>
    <m/>
    <x v="0"/>
  </r>
  <r>
    <n v="0"/>
    <n v="0"/>
    <n v="3"/>
    <n v="4"/>
    <n v="5"/>
    <s v=""/>
    <s v=""/>
    <s v=""/>
    <m/>
    <m/>
    <m/>
    <m/>
    <m/>
    <x v="0"/>
  </r>
  <r>
    <n v="7"/>
    <n v="609"/>
    <n v="2"/>
    <n v="1"/>
    <n v="1"/>
    <s v=""/>
    <s v=""/>
    <s v=""/>
    <m/>
    <m/>
    <m/>
    <m/>
    <m/>
    <x v="0"/>
  </r>
  <r>
    <n v="4"/>
    <n v="248"/>
    <n v="3"/>
    <n v="2"/>
    <n v="2"/>
    <s v=""/>
    <s v=""/>
    <s v=""/>
    <m/>
    <m/>
    <m/>
    <m/>
    <m/>
    <x v="0"/>
  </r>
  <r>
    <n v="4"/>
    <n v="12"/>
    <n v="4"/>
    <n v="2"/>
    <n v="5"/>
    <s v=""/>
    <s v=""/>
    <s v=""/>
    <m/>
    <m/>
    <m/>
    <m/>
    <m/>
    <x v="0"/>
  </r>
  <r>
    <n v="5"/>
    <n v="145"/>
    <n v="1"/>
    <n v="2"/>
    <n v="3"/>
    <s v=""/>
    <s v=""/>
    <s v=""/>
    <m/>
    <m/>
    <m/>
    <m/>
    <m/>
    <x v="0"/>
  </r>
  <r>
    <n v="7"/>
    <n v="511"/>
    <n v="1"/>
    <n v="1"/>
    <n v="1"/>
    <s v=""/>
    <s v=""/>
    <s v=""/>
    <m/>
    <m/>
    <m/>
    <m/>
    <m/>
    <x v="0"/>
  </r>
  <r>
    <n v="1"/>
    <n v="41"/>
    <n v="3"/>
    <n v="4"/>
    <n v="5"/>
    <s v=""/>
    <s v=""/>
    <s v=""/>
    <m/>
    <m/>
    <m/>
    <m/>
    <m/>
    <x v="0"/>
  </r>
  <r>
    <n v="3"/>
    <n v="156"/>
    <n v="1"/>
    <n v="3"/>
    <n v="3"/>
    <s v=""/>
    <s v=""/>
    <s v=""/>
    <m/>
    <m/>
    <m/>
    <m/>
    <m/>
    <x v="0"/>
  </r>
  <r>
    <n v="2"/>
    <n v="64"/>
    <n v="2"/>
    <n v="3"/>
    <n v="4"/>
    <s v=""/>
    <s v=""/>
    <s v=""/>
    <m/>
    <m/>
    <m/>
    <m/>
    <m/>
    <x v="0"/>
  </r>
  <r>
    <n v="5"/>
    <n v="215"/>
    <n v="1"/>
    <n v="2"/>
    <n v="3"/>
    <s v=""/>
    <s v=""/>
    <s v=""/>
    <m/>
    <m/>
    <m/>
    <m/>
    <m/>
    <x v="0"/>
  </r>
  <r>
    <n v="2"/>
    <n v="30"/>
    <n v="4"/>
    <n v="3"/>
    <n v="5"/>
    <s v=""/>
    <s v=""/>
    <s v=""/>
    <m/>
    <m/>
    <m/>
    <m/>
    <m/>
    <x v="0"/>
  </r>
  <r>
    <n v="4"/>
    <n v="280"/>
    <n v="1"/>
    <n v="2"/>
    <n v="2"/>
    <s v=""/>
    <s v=""/>
    <s v=""/>
    <m/>
    <m/>
    <m/>
    <m/>
    <m/>
    <x v="0"/>
  </r>
  <r>
    <n v="6"/>
    <n v="6"/>
    <n v="2"/>
    <n v="1"/>
    <n v="5"/>
    <s v=""/>
    <s v="Upsell"/>
    <s v=""/>
    <m/>
    <m/>
    <m/>
    <m/>
    <m/>
    <x v="3"/>
  </r>
  <r>
    <n v="0"/>
    <n v="0"/>
    <n v="1"/>
    <n v="4"/>
    <n v="5"/>
    <s v=""/>
    <s v=""/>
    <s v=""/>
    <m/>
    <m/>
    <m/>
    <m/>
    <m/>
    <x v="0"/>
  </r>
  <r>
    <n v="5"/>
    <n v="0"/>
    <n v="4"/>
    <n v="2"/>
    <n v="5"/>
    <s v=""/>
    <s v=""/>
    <s v=""/>
    <m/>
    <m/>
    <m/>
    <m/>
    <m/>
    <x v="0"/>
  </r>
  <r>
    <n v="7"/>
    <n v="238"/>
    <n v="1"/>
    <n v="1"/>
    <n v="2"/>
    <s v=""/>
    <s v=""/>
    <s v=""/>
    <m/>
    <m/>
    <m/>
    <m/>
    <m/>
    <x v="0"/>
  </r>
  <r>
    <n v="4"/>
    <n v="156"/>
    <n v="1"/>
    <n v="2"/>
    <n v="3"/>
    <s v=""/>
    <s v=""/>
    <s v=""/>
    <m/>
    <m/>
    <m/>
    <m/>
    <m/>
    <x v="0"/>
  </r>
  <r>
    <n v="0"/>
    <n v="0"/>
    <n v="1"/>
    <n v="4"/>
    <n v="5"/>
    <s v=""/>
    <s v=""/>
    <s v=""/>
    <m/>
    <m/>
    <m/>
    <m/>
    <m/>
    <x v="0"/>
  </r>
  <r>
    <n v="6"/>
    <n v="216"/>
    <n v="3"/>
    <n v="1"/>
    <n v="3"/>
    <s v=""/>
    <s v=""/>
    <s v=""/>
    <m/>
    <m/>
    <m/>
    <m/>
    <m/>
    <x v="0"/>
  </r>
  <r>
    <n v="5"/>
    <n v="120"/>
    <n v="3"/>
    <n v="2"/>
    <n v="4"/>
    <s v=""/>
    <s v=""/>
    <s v=""/>
    <m/>
    <m/>
    <m/>
    <m/>
    <m/>
    <x v="0"/>
  </r>
  <r>
    <n v="9"/>
    <n v="567"/>
    <n v="1"/>
    <n v="1"/>
    <n v="1"/>
    <s v=""/>
    <s v=""/>
    <s v=""/>
    <m/>
    <m/>
    <m/>
    <m/>
    <m/>
    <x v="0"/>
  </r>
  <r>
    <n v="5"/>
    <n v="230"/>
    <n v="2"/>
    <n v="2"/>
    <n v="2"/>
    <s v=""/>
    <s v=""/>
    <s v=""/>
    <m/>
    <m/>
    <m/>
    <m/>
    <m/>
    <x v="0"/>
  </r>
  <r>
    <n v="4"/>
    <n v="280"/>
    <n v="2"/>
    <n v="2"/>
    <n v="2"/>
    <s v=""/>
    <s v=""/>
    <s v=""/>
    <m/>
    <m/>
    <m/>
    <m/>
    <m/>
    <x v="0"/>
  </r>
  <r>
    <n v="4"/>
    <n v="372"/>
    <n v="3"/>
    <n v="2"/>
    <n v="2"/>
    <s v=""/>
    <s v=""/>
    <s v=""/>
    <m/>
    <m/>
    <m/>
    <m/>
    <m/>
    <x v="0"/>
  </r>
  <r>
    <n v="8"/>
    <n v="528"/>
    <n v="2"/>
    <n v="1"/>
    <n v="1"/>
    <s v=""/>
    <s v=""/>
    <s v=""/>
    <m/>
    <m/>
    <m/>
    <m/>
    <m/>
    <x v="0"/>
  </r>
  <r>
    <n v="5"/>
    <n v="315"/>
    <n v="1"/>
    <n v="2"/>
    <n v="2"/>
    <s v=""/>
    <s v=""/>
    <s v=""/>
    <m/>
    <m/>
    <m/>
    <m/>
    <m/>
    <x v="0"/>
  </r>
  <r>
    <n v="8"/>
    <n v="424"/>
    <n v="1"/>
    <n v="1"/>
    <n v="2"/>
    <s v=""/>
    <s v=""/>
    <s v=""/>
    <m/>
    <m/>
    <m/>
    <m/>
    <m/>
    <x v="0"/>
  </r>
  <r>
    <n v="7"/>
    <n v="63"/>
    <n v="1"/>
    <n v="1"/>
    <n v="4"/>
    <s v=""/>
    <s v="Upsell"/>
    <s v=""/>
    <m/>
    <m/>
    <m/>
    <m/>
    <m/>
    <x v="3"/>
  </r>
  <r>
    <n v="8"/>
    <n v="176"/>
    <n v="1"/>
    <n v="1"/>
    <n v="3"/>
    <s v=""/>
    <s v=""/>
    <s v=""/>
    <m/>
    <m/>
    <m/>
    <m/>
    <m/>
    <x v="0"/>
  </r>
  <r>
    <n v="8"/>
    <n v="192"/>
    <n v="4"/>
    <n v="1"/>
    <n v="3"/>
    <s v=""/>
    <s v=""/>
    <s v=""/>
    <m/>
    <m/>
    <m/>
    <m/>
    <m/>
    <x v="0"/>
  </r>
  <r>
    <n v="6"/>
    <n v="174"/>
    <n v="3"/>
    <n v="1"/>
    <n v="3"/>
    <s v=""/>
    <s v=""/>
    <s v=""/>
    <m/>
    <m/>
    <m/>
    <m/>
    <m/>
    <x v="0"/>
  </r>
  <r>
    <n v="3"/>
    <n v="249"/>
    <n v="1"/>
    <n v="3"/>
    <n v="2"/>
    <s v=""/>
    <s v=""/>
    <s v=""/>
    <m/>
    <m/>
    <m/>
    <m/>
    <m/>
    <x v="0"/>
  </r>
  <r>
    <n v="6"/>
    <n v="186"/>
    <n v="3"/>
    <n v="1"/>
    <n v="3"/>
    <s v=""/>
    <s v=""/>
    <s v=""/>
    <m/>
    <m/>
    <m/>
    <m/>
    <m/>
    <x v="0"/>
  </r>
  <r>
    <n v="6"/>
    <n v="222"/>
    <n v="3"/>
    <n v="1"/>
    <n v="2"/>
    <s v=""/>
    <s v=""/>
    <s v=""/>
    <m/>
    <m/>
    <m/>
    <m/>
    <m/>
    <x v="0"/>
  </r>
  <r>
    <n v="4"/>
    <n v="204"/>
    <n v="3"/>
    <n v="2"/>
    <n v="3"/>
    <s v=""/>
    <s v=""/>
    <s v=""/>
    <m/>
    <m/>
    <m/>
    <m/>
    <m/>
    <x v="0"/>
  </r>
  <r>
    <n v="3"/>
    <n v="54"/>
    <n v="4"/>
    <n v="3"/>
    <n v="4"/>
    <s v=""/>
    <s v=""/>
    <s v=""/>
    <m/>
    <m/>
    <m/>
    <m/>
    <m/>
    <x v="0"/>
  </r>
  <r>
    <n v="3"/>
    <n v="21"/>
    <n v="3"/>
    <n v="3"/>
    <n v="5"/>
    <s v=""/>
    <s v=""/>
    <s v=""/>
    <m/>
    <m/>
    <m/>
    <m/>
    <m/>
    <x v="0"/>
  </r>
  <r>
    <n v="9"/>
    <n v="864"/>
    <n v="1"/>
    <n v="1"/>
    <n v="1"/>
    <s v=""/>
    <s v=""/>
    <s v=""/>
    <m/>
    <m/>
    <m/>
    <m/>
    <m/>
    <x v="0"/>
  </r>
  <r>
    <n v="1"/>
    <n v="69"/>
    <n v="2"/>
    <n v="4"/>
    <n v="4"/>
    <s v=""/>
    <s v=""/>
    <s v=""/>
    <m/>
    <m/>
    <m/>
    <m/>
    <m/>
    <x v="0"/>
  </r>
  <r>
    <n v="0"/>
    <n v="0"/>
    <n v="2"/>
    <n v="4"/>
    <n v="5"/>
    <s v=""/>
    <s v=""/>
    <s v=""/>
    <m/>
    <m/>
    <m/>
    <m/>
    <m/>
    <x v="0"/>
  </r>
  <r>
    <n v="6"/>
    <n v="336"/>
    <n v="4"/>
    <n v="1"/>
    <n v="2"/>
    <s v=""/>
    <s v=""/>
    <s v="Contact"/>
    <m/>
    <m/>
    <m/>
    <m/>
    <m/>
    <x v="1"/>
  </r>
  <r>
    <n v="2"/>
    <n v="42"/>
    <n v="4"/>
    <n v="3"/>
    <n v="4"/>
    <s v=""/>
    <s v=""/>
    <s v=""/>
    <m/>
    <m/>
    <m/>
    <m/>
    <m/>
    <x v="0"/>
  </r>
  <r>
    <n v="2"/>
    <n v="20"/>
    <n v="1"/>
    <n v="3"/>
    <n v="5"/>
    <s v=""/>
    <s v=""/>
    <s v=""/>
    <m/>
    <m/>
    <m/>
    <m/>
    <m/>
    <x v="0"/>
  </r>
  <r>
    <n v="8"/>
    <n v="480"/>
    <n v="3"/>
    <n v="1"/>
    <n v="1"/>
    <s v=""/>
    <s v=""/>
    <s v=""/>
    <m/>
    <m/>
    <m/>
    <m/>
    <m/>
    <x v="0"/>
  </r>
  <r>
    <n v="4"/>
    <n v="252"/>
    <n v="4"/>
    <n v="2"/>
    <n v="2"/>
    <s v=""/>
    <s v=""/>
    <s v="Contact"/>
    <m/>
    <m/>
    <m/>
    <m/>
    <m/>
    <x v="1"/>
  </r>
  <r>
    <n v="5"/>
    <n v="330"/>
    <n v="2"/>
    <n v="2"/>
    <n v="2"/>
    <s v=""/>
    <s v=""/>
    <s v=""/>
    <m/>
    <m/>
    <m/>
    <m/>
    <m/>
    <x v="0"/>
  </r>
  <r>
    <n v="2"/>
    <n v="140"/>
    <n v="3"/>
    <n v="3"/>
    <n v="3"/>
    <s v=""/>
    <s v=""/>
    <s v=""/>
    <m/>
    <m/>
    <m/>
    <m/>
    <m/>
    <x v="0"/>
  </r>
  <r>
    <n v="9"/>
    <n v="801"/>
    <n v="1"/>
    <n v="1"/>
    <n v="1"/>
    <s v=""/>
    <s v=""/>
    <s v=""/>
    <m/>
    <m/>
    <m/>
    <m/>
    <m/>
    <x v="0"/>
  </r>
  <r>
    <n v="0"/>
    <n v="0"/>
    <n v="1"/>
    <n v="4"/>
    <n v="5"/>
    <s v=""/>
    <s v=""/>
    <s v=""/>
    <m/>
    <m/>
    <m/>
    <m/>
    <m/>
    <x v="0"/>
  </r>
  <r>
    <n v="9"/>
    <n v="828"/>
    <n v="4"/>
    <n v="1"/>
    <n v="1"/>
    <s v=""/>
    <s v=""/>
    <s v="Contact"/>
    <m/>
    <m/>
    <m/>
    <m/>
    <m/>
    <x v="1"/>
  </r>
  <r>
    <n v="4"/>
    <n v="44"/>
    <n v="1"/>
    <n v="2"/>
    <n v="4"/>
    <s v=""/>
    <s v="Upsell"/>
    <s v=""/>
    <m/>
    <m/>
    <m/>
    <m/>
    <m/>
    <x v="3"/>
  </r>
  <r>
    <n v="4"/>
    <n v="344"/>
    <n v="1"/>
    <n v="2"/>
    <n v="2"/>
    <s v=""/>
    <s v=""/>
    <s v=""/>
    <m/>
    <m/>
    <m/>
    <m/>
    <m/>
    <x v="0"/>
  </r>
  <r>
    <n v="0"/>
    <n v="0"/>
    <n v="3"/>
    <n v="4"/>
    <n v="5"/>
    <s v=""/>
    <s v=""/>
    <s v=""/>
    <m/>
    <m/>
    <m/>
    <m/>
    <m/>
    <x v="0"/>
  </r>
  <r>
    <n v="3"/>
    <n v="162"/>
    <n v="3"/>
    <n v="3"/>
    <n v="3"/>
    <s v=""/>
    <s v=""/>
    <s v=""/>
    <m/>
    <m/>
    <m/>
    <m/>
    <m/>
    <x v="0"/>
  </r>
  <r>
    <n v="5"/>
    <n v="475"/>
    <n v="1"/>
    <n v="2"/>
    <n v="1"/>
    <s v=""/>
    <s v=""/>
    <s v=""/>
    <m/>
    <m/>
    <m/>
    <m/>
    <m/>
    <x v="0"/>
  </r>
  <r>
    <n v="8"/>
    <n v="352"/>
    <n v="3"/>
    <n v="1"/>
    <n v="2"/>
    <s v=""/>
    <s v=""/>
    <s v=""/>
    <m/>
    <m/>
    <m/>
    <m/>
    <m/>
    <x v="0"/>
  </r>
  <r>
    <n v="4"/>
    <n v="188"/>
    <n v="1"/>
    <n v="2"/>
    <n v="3"/>
    <s v=""/>
    <s v=""/>
    <s v=""/>
    <m/>
    <m/>
    <m/>
    <m/>
    <m/>
    <x v="0"/>
  </r>
  <r>
    <n v="3"/>
    <n v="57"/>
    <n v="3"/>
    <n v="3"/>
    <n v="4"/>
    <s v=""/>
    <s v=""/>
    <s v=""/>
    <m/>
    <m/>
    <m/>
    <m/>
    <m/>
    <x v="0"/>
  </r>
  <r>
    <n v="8"/>
    <n v="424"/>
    <n v="1"/>
    <n v="1"/>
    <n v="2"/>
    <s v=""/>
    <s v=""/>
    <s v=""/>
    <m/>
    <m/>
    <m/>
    <m/>
    <m/>
    <x v="0"/>
  </r>
  <r>
    <n v="9"/>
    <n v="342"/>
    <n v="1"/>
    <n v="1"/>
    <n v="2"/>
    <s v=""/>
    <s v=""/>
    <s v=""/>
    <m/>
    <m/>
    <m/>
    <m/>
    <m/>
    <x v="0"/>
  </r>
  <r>
    <n v="7"/>
    <n v="7"/>
    <n v="1"/>
    <n v="1"/>
    <n v="5"/>
    <s v=""/>
    <s v="Upsell"/>
    <s v=""/>
    <m/>
    <m/>
    <m/>
    <m/>
    <m/>
    <x v="3"/>
  </r>
  <r>
    <n v="4"/>
    <n v="352"/>
    <n v="3"/>
    <n v="2"/>
    <n v="2"/>
    <s v=""/>
    <s v=""/>
    <s v=""/>
    <m/>
    <m/>
    <m/>
    <m/>
    <m/>
    <x v="0"/>
  </r>
  <r>
    <n v="5"/>
    <n v="330"/>
    <n v="1"/>
    <n v="2"/>
    <n v="2"/>
    <s v=""/>
    <s v=""/>
    <s v=""/>
    <m/>
    <m/>
    <m/>
    <m/>
    <m/>
    <x v="0"/>
  </r>
  <r>
    <n v="2"/>
    <n v="46"/>
    <n v="3"/>
    <n v="3"/>
    <n v="4"/>
    <s v=""/>
    <s v=""/>
    <s v=""/>
    <m/>
    <m/>
    <m/>
    <m/>
    <m/>
    <x v="0"/>
  </r>
  <r>
    <n v="9"/>
    <n v="432"/>
    <n v="3"/>
    <n v="1"/>
    <n v="1"/>
    <s v=""/>
    <s v=""/>
    <s v=""/>
    <m/>
    <m/>
    <m/>
    <m/>
    <m/>
    <x v="0"/>
  </r>
  <r>
    <n v="2"/>
    <n v="72"/>
    <n v="4"/>
    <n v="3"/>
    <n v="4"/>
    <s v=""/>
    <s v=""/>
    <s v=""/>
    <m/>
    <m/>
    <m/>
    <m/>
    <m/>
    <x v="0"/>
  </r>
  <r>
    <n v="9"/>
    <n v="621"/>
    <n v="1"/>
    <n v="1"/>
    <n v="1"/>
    <s v=""/>
    <s v=""/>
    <s v=""/>
    <m/>
    <m/>
    <m/>
    <m/>
    <m/>
    <x v="0"/>
  </r>
  <r>
    <n v="0"/>
    <n v="0"/>
    <n v="3"/>
    <n v="4"/>
    <n v="5"/>
    <s v=""/>
    <s v=""/>
    <s v=""/>
    <m/>
    <m/>
    <m/>
    <m/>
    <m/>
    <x v="0"/>
  </r>
  <r>
    <n v="2"/>
    <n v="24"/>
    <n v="1"/>
    <n v="3"/>
    <n v="5"/>
    <s v=""/>
    <s v=""/>
    <s v=""/>
    <m/>
    <m/>
    <m/>
    <m/>
    <m/>
    <x v="0"/>
  </r>
  <r>
    <n v="7"/>
    <n v="469"/>
    <n v="4"/>
    <n v="1"/>
    <n v="1"/>
    <s v=""/>
    <s v=""/>
    <s v="Contact"/>
    <m/>
    <m/>
    <m/>
    <m/>
    <m/>
    <x v="1"/>
  </r>
  <r>
    <n v="2"/>
    <n v="150"/>
    <n v="1"/>
    <n v="3"/>
    <n v="3"/>
    <s v=""/>
    <s v=""/>
    <s v=""/>
    <m/>
    <m/>
    <m/>
    <m/>
    <m/>
    <x v="0"/>
  </r>
  <r>
    <n v="0"/>
    <n v="0"/>
    <n v="2"/>
    <n v="4"/>
    <n v="5"/>
    <s v=""/>
    <s v=""/>
    <s v=""/>
    <m/>
    <m/>
    <m/>
    <m/>
    <m/>
    <x v="0"/>
  </r>
  <r>
    <n v="8"/>
    <n v="192"/>
    <n v="1"/>
    <n v="1"/>
    <n v="3"/>
    <s v=""/>
    <s v=""/>
    <s v=""/>
    <m/>
    <m/>
    <m/>
    <m/>
    <m/>
    <x v="0"/>
  </r>
  <r>
    <n v="9"/>
    <n v="153"/>
    <n v="4"/>
    <n v="1"/>
    <n v="3"/>
    <s v=""/>
    <s v=""/>
    <s v=""/>
    <m/>
    <m/>
    <m/>
    <m/>
    <m/>
    <x v="0"/>
  </r>
  <r>
    <n v="1"/>
    <n v="35"/>
    <n v="3"/>
    <n v="4"/>
    <n v="5"/>
    <s v=""/>
    <s v=""/>
    <s v=""/>
    <m/>
    <m/>
    <m/>
    <m/>
    <m/>
    <x v="0"/>
  </r>
  <r>
    <n v="7"/>
    <n v="182"/>
    <n v="1"/>
    <n v="1"/>
    <n v="3"/>
    <s v=""/>
    <s v=""/>
    <s v=""/>
    <m/>
    <m/>
    <m/>
    <m/>
    <m/>
    <x v="0"/>
  </r>
  <r>
    <n v="7"/>
    <n v="49"/>
    <n v="4"/>
    <n v="1"/>
    <n v="4"/>
    <s v=""/>
    <s v=""/>
    <s v=""/>
    <m/>
    <m/>
    <m/>
    <m/>
    <m/>
    <x v="0"/>
  </r>
  <r>
    <n v="3"/>
    <n v="219"/>
    <n v="1"/>
    <n v="3"/>
    <n v="3"/>
    <s v=""/>
    <s v=""/>
    <s v=""/>
    <m/>
    <m/>
    <m/>
    <m/>
    <m/>
    <x v="0"/>
  </r>
  <r>
    <n v="3"/>
    <n v="222"/>
    <n v="4"/>
    <n v="3"/>
    <n v="2"/>
    <s v=""/>
    <s v=""/>
    <s v=""/>
    <m/>
    <m/>
    <m/>
    <m/>
    <m/>
    <x v="0"/>
  </r>
  <r>
    <n v="8"/>
    <n v="192"/>
    <n v="1"/>
    <n v="1"/>
    <n v="3"/>
    <s v=""/>
    <s v=""/>
    <s v=""/>
    <m/>
    <m/>
    <m/>
    <m/>
    <m/>
    <x v="0"/>
  </r>
  <r>
    <n v="6"/>
    <n v="414"/>
    <n v="3"/>
    <n v="1"/>
    <n v="2"/>
    <s v=""/>
    <s v=""/>
    <s v=""/>
    <m/>
    <m/>
    <m/>
    <m/>
    <m/>
    <x v="0"/>
  </r>
  <r>
    <n v="7"/>
    <n v="154"/>
    <n v="2"/>
    <n v="1"/>
    <n v="3"/>
    <s v=""/>
    <s v=""/>
    <s v=""/>
    <m/>
    <m/>
    <m/>
    <m/>
    <m/>
    <x v="0"/>
  </r>
  <r>
    <n v="0"/>
    <n v="0"/>
    <n v="4"/>
    <n v="4"/>
    <n v="5"/>
    <s v="Ignore"/>
    <s v=""/>
    <s v=""/>
    <m/>
    <m/>
    <m/>
    <m/>
    <m/>
    <x v="2"/>
  </r>
  <r>
    <n v="9"/>
    <n v="8"/>
    <n v="1"/>
    <n v="1"/>
    <n v="5"/>
    <s v=""/>
    <s v="Upsell"/>
    <s v=""/>
    <m/>
    <m/>
    <m/>
    <m/>
    <m/>
    <x v="3"/>
  </r>
  <r>
    <n v="9"/>
    <n v="830"/>
    <n v="4"/>
    <n v="1"/>
    <n v="1"/>
    <s v=""/>
    <s v=""/>
    <s v="Contact"/>
    <m/>
    <m/>
    <m/>
    <m/>
    <m/>
    <x v="1"/>
  </r>
  <r>
    <n v="8"/>
    <n v="850"/>
    <n v="4"/>
    <n v="1"/>
    <n v="1"/>
    <s v=""/>
    <s v=""/>
    <s v="Contact"/>
    <m/>
    <m/>
    <m/>
    <m/>
    <m/>
    <x v="1"/>
  </r>
  <r>
    <n v="8"/>
    <n v="9"/>
    <n v="1"/>
    <n v="1"/>
    <n v="5"/>
    <s v=""/>
    <s v="Upsell"/>
    <s v=""/>
    <m/>
    <m/>
    <m/>
    <m/>
    <m/>
    <x v="3"/>
  </r>
  <r>
    <n v="1"/>
    <n v="1"/>
    <n v="4"/>
    <n v="4"/>
    <n v="5"/>
    <s v="Ignore"/>
    <s v=""/>
    <s v=""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D401E-84E5-436A-ADBB-53444F3F546A}" name="PivotTable6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h="1" x="0"/>
        <item x="1"/>
        <item x="2"/>
        <item x="3"/>
        <item t="default"/>
      </items>
    </pivotField>
  </pivotFields>
  <rowFields count="1">
    <field x="13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# Purchases (F)" fld="0" subtotal="count" baseField="13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8"/>
  <sheetViews>
    <sheetView tabSelected="1" topLeftCell="C1" workbookViewId="0">
      <pane ySplit="1" topLeftCell="A2" activePane="bottomLeft" state="frozen"/>
      <selection pane="bottomLeft" activeCell="E311" sqref="E311"/>
    </sheetView>
  </sheetViews>
  <sheetFormatPr defaultColWidth="11" defaultRowHeight="15.6" x14ac:dyDescent="0.3"/>
  <cols>
    <col min="1" max="4" width="10.8984375" style="1"/>
    <col min="13" max="13" width="17.8984375" bestFit="1" customWidth="1"/>
  </cols>
  <sheetData>
    <row r="1" spans="1:16" ht="94.2" thickBot="1" x14ac:dyDescent="0.35">
      <c r="A1" s="3" t="s">
        <v>0</v>
      </c>
      <c r="B1" s="3" t="s">
        <v>6</v>
      </c>
      <c r="C1" s="3" t="s">
        <v>7</v>
      </c>
      <c r="D1" s="3" t="s">
        <v>8</v>
      </c>
      <c r="E1" s="4" t="s">
        <v>1</v>
      </c>
      <c r="F1" s="4" t="s">
        <v>13</v>
      </c>
      <c r="G1" s="4" t="s">
        <v>2</v>
      </c>
      <c r="H1" s="7" t="s">
        <v>10</v>
      </c>
      <c r="I1" s="6" t="s">
        <v>11</v>
      </c>
      <c r="J1" s="5" t="s">
        <v>12</v>
      </c>
      <c r="L1" s="3" t="s">
        <v>9</v>
      </c>
      <c r="M1" s="4" t="s">
        <v>3</v>
      </c>
      <c r="N1" s="3" t="s">
        <v>14</v>
      </c>
      <c r="P1" t="s">
        <v>17</v>
      </c>
    </row>
    <row r="2" spans="1:16" x14ac:dyDescent="0.3">
      <c r="A2" s="1">
        <v>1000</v>
      </c>
      <c r="B2" s="2">
        <v>41275</v>
      </c>
      <c r="C2" s="1">
        <v>1</v>
      </c>
      <c r="D2" s="1">
        <v>1000</v>
      </c>
      <c r="E2">
        <f>VLOOKUP(B2,$M$2:$N$6,2,TRUE)</f>
        <v>2</v>
      </c>
      <c r="F2" s="13">
        <f>VLOOKUP(C2,$M$9:$N$13,2,TRUE)</f>
        <v>4</v>
      </c>
      <c r="G2" s="13">
        <f>VLOOKUP(D2,$M$16:$N$20,2,TRUE)</f>
        <v>1</v>
      </c>
      <c r="H2" s="15" t="str">
        <f>IF(AND(E2&gt;3,F2&gt;3,G2&gt;3),"Ignore","")</f>
        <v/>
      </c>
      <c r="I2" s="14" t="str">
        <f>IF(AND(E2&lt;3,F2&lt;3,G2&gt;3),"Upsell","")</f>
        <v/>
      </c>
      <c r="J2" s="16" t="str">
        <f>IF(AND(E2&gt;3,F2&lt;3,G2&lt;3),"Contact","")</f>
        <v/>
      </c>
      <c r="K2" t="str">
        <f>IF(H2&lt;&gt;"","Ignore", IF(I2&lt;&gt;"","Upsell", IF(J2&lt;&gt;"","Contact","")))</f>
        <v/>
      </c>
      <c r="L2" s="1">
        <v>0</v>
      </c>
      <c r="M2" s="11"/>
      <c r="N2" s="1">
        <v>5</v>
      </c>
      <c r="P2" t="str">
        <f>IF(H2&lt;&gt;"","Ignore", IF(I2&lt;&gt;"","Upsell", IF(J2&lt;&gt;"","Contact","")))</f>
        <v/>
      </c>
    </row>
    <row r="3" spans="1:16" x14ac:dyDescent="0.3">
      <c r="A3" s="1">
        <v>1001</v>
      </c>
      <c r="B3" s="2">
        <v>41235.531908743265</v>
      </c>
      <c r="C3" s="1">
        <v>1</v>
      </c>
      <c r="D3" s="1">
        <v>10</v>
      </c>
      <c r="E3">
        <f t="shared" ref="E3:E66" si="0">VLOOKUP(B3,$M$2:$N$6,2,TRUE)</f>
        <v>3</v>
      </c>
      <c r="F3" s="13">
        <f t="shared" ref="F3:F66" si="1">VLOOKUP(C3,$M$9:$N$13,2,TRUE)</f>
        <v>4</v>
      </c>
      <c r="G3" s="13">
        <f t="shared" ref="G3:G66" si="2">VLOOKUP(D3,$M$16:$N$20,2,TRUE)</f>
        <v>5</v>
      </c>
      <c r="H3" s="15" t="str">
        <f t="shared" ref="H3:H66" si="3">IF(AND(E3&gt;3,F3&gt;3,G3&gt;3),"Ignore","")</f>
        <v/>
      </c>
      <c r="I3" s="14" t="str">
        <f t="shared" ref="I3:I66" si="4">IF(AND(E3&lt;3,F3&lt;3,G3&gt;3),"Upsell","")</f>
        <v/>
      </c>
      <c r="J3" s="16" t="str">
        <f t="shared" ref="J3:J66" si="5">IF(AND(E3&gt;3,F3&lt;3,G3&lt;3),"Contact","")</f>
        <v/>
      </c>
      <c r="L3" s="1">
        <v>0.2</v>
      </c>
      <c r="M3" s="11">
        <f>_xlfn.PERCENTILE.INC($B$2:$B$308,L2)</f>
        <v>41126.36441997486</v>
      </c>
      <c r="N3" s="1">
        <v>4</v>
      </c>
      <c r="P3" t="str">
        <f t="shared" ref="P3:P66" si="6">IF(H3&lt;&gt;"","Ignore", IF(I3&lt;&gt;"","Upsell", IF(J3&lt;&gt;"","Contact","")))</f>
        <v/>
      </c>
    </row>
    <row r="4" spans="1:16" x14ac:dyDescent="0.3">
      <c r="A4" s="1">
        <v>1002</v>
      </c>
      <c r="B4" s="2">
        <v>41220.181004610291</v>
      </c>
      <c r="C4" s="1">
        <v>9</v>
      </c>
      <c r="D4" s="1">
        <v>882</v>
      </c>
      <c r="E4">
        <f t="shared" si="0"/>
        <v>3</v>
      </c>
      <c r="F4" s="13">
        <f t="shared" si="1"/>
        <v>1</v>
      </c>
      <c r="G4" s="13">
        <f t="shared" si="2"/>
        <v>1</v>
      </c>
      <c r="H4" s="15" t="str">
        <f t="shared" si="3"/>
        <v/>
      </c>
      <c r="I4" s="14" t="str">
        <f t="shared" si="4"/>
        <v/>
      </c>
      <c r="J4" s="16" t="str">
        <f t="shared" si="5"/>
        <v/>
      </c>
      <c r="L4" s="1">
        <v>0.4</v>
      </c>
      <c r="M4" s="11">
        <f t="shared" ref="M4:M6" si="7">_xlfn.PERCENTILE.INC($B$2:$B$308,L3)</f>
        <v>41182.914020550867</v>
      </c>
      <c r="N4" s="1">
        <v>3</v>
      </c>
      <c r="P4" t="str">
        <f t="shared" si="6"/>
        <v/>
      </c>
    </row>
    <row r="5" spans="1:16" x14ac:dyDescent="0.3">
      <c r="A5" s="1">
        <v>1003</v>
      </c>
      <c r="B5" s="2">
        <v>41354.806984963689</v>
      </c>
      <c r="C5" s="1">
        <v>8</v>
      </c>
      <c r="D5" s="1">
        <v>704</v>
      </c>
      <c r="E5">
        <f t="shared" si="0"/>
        <v>1</v>
      </c>
      <c r="F5" s="13">
        <f t="shared" si="1"/>
        <v>1</v>
      </c>
      <c r="G5" s="13">
        <f t="shared" si="2"/>
        <v>1</v>
      </c>
      <c r="H5" s="15" t="str">
        <f t="shared" si="3"/>
        <v/>
      </c>
      <c r="I5" s="14" t="str">
        <f t="shared" si="4"/>
        <v/>
      </c>
      <c r="J5" s="16" t="str">
        <f t="shared" si="5"/>
        <v/>
      </c>
      <c r="L5" s="1">
        <v>0.6</v>
      </c>
      <c r="M5" s="11">
        <f t="shared" si="7"/>
        <v>41244.888658816169</v>
      </c>
      <c r="N5" s="1">
        <v>2</v>
      </c>
      <c r="P5" t="str">
        <f t="shared" si="6"/>
        <v/>
      </c>
    </row>
    <row r="6" spans="1:16" x14ac:dyDescent="0.3">
      <c r="A6" s="1">
        <v>1004</v>
      </c>
      <c r="B6" s="2">
        <v>41138.786390967594</v>
      </c>
      <c r="C6" s="1">
        <v>4</v>
      </c>
      <c r="D6" s="1">
        <v>380</v>
      </c>
      <c r="E6">
        <f t="shared" si="0"/>
        <v>4</v>
      </c>
      <c r="F6" s="13">
        <f t="shared" si="1"/>
        <v>2</v>
      </c>
      <c r="G6" s="13">
        <f t="shared" si="2"/>
        <v>2</v>
      </c>
      <c r="H6" s="15" t="str">
        <f t="shared" si="3"/>
        <v/>
      </c>
      <c r="I6" s="14" t="str">
        <f t="shared" si="4"/>
        <v/>
      </c>
      <c r="J6" s="16" t="str">
        <f t="shared" si="5"/>
        <v>Contact</v>
      </c>
      <c r="L6" s="1">
        <v>0.8</v>
      </c>
      <c r="M6" s="11">
        <f t="shared" si="7"/>
        <v>41306.074302617308</v>
      </c>
      <c r="N6" s="1">
        <v>1</v>
      </c>
      <c r="P6" t="str">
        <f t="shared" si="6"/>
        <v>Contact</v>
      </c>
    </row>
    <row r="7" spans="1:16" x14ac:dyDescent="0.3">
      <c r="A7" s="1">
        <v>1005</v>
      </c>
      <c r="B7" s="2">
        <v>41404.148685372034</v>
      </c>
      <c r="C7" s="1">
        <v>9</v>
      </c>
      <c r="D7" s="1">
        <v>621</v>
      </c>
      <c r="E7">
        <f t="shared" si="0"/>
        <v>1</v>
      </c>
      <c r="F7" s="13">
        <f t="shared" si="1"/>
        <v>1</v>
      </c>
      <c r="G7" s="13">
        <f t="shared" si="2"/>
        <v>1</v>
      </c>
      <c r="H7" s="15" t="str">
        <f t="shared" si="3"/>
        <v/>
      </c>
      <c r="I7" s="14" t="str">
        <f t="shared" si="4"/>
        <v/>
      </c>
      <c r="J7" s="16" t="str">
        <f t="shared" si="5"/>
        <v/>
      </c>
      <c r="L7" s="1"/>
      <c r="N7" s="1"/>
      <c r="P7" t="str">
        <f t="shared" si="6"/>
        <v/>
      </c>
    </row>
    <row r="8" spans="1:16" ht="16.2" thickBot="1" x14ac:dyDescent="0.35">
      <c r="A8" s="1">
        <v>1006</v>
      </c>
      <c r="B8" s="2">
        <v>41274.653840401937</v>
      </c>
      <c r="C8" s="1">
        <v>4</v>
      </c>
      <c r="D8" s="1">
        <v>304</v>
      </c>
      <c r="E8">
        <f t="shared" si="0"/>
        <v>2</v>
      </c>
      <c r="F8" s="13">
        <f t="shared" si="1"/>
        <v>2</v>
      </c>
      <c r="G8" s="13">
        <f t="shared" si="2"/>
        <v>2</v>
      </c>
      <c r="H8" s="15" t="str">
        <f t="shared" si="3"/>
        <v/>
      </c>
      <c r="I8" s="14" t="str">
        <f t="shared" si="4"/>
        <v/>
      </c>
      <c r="J8" s="16" t="str">
        <f t="shared" si="5"/>
        <v/>
      </c>
      <c r="L8" s="8"/>
      <c r="M8" s="9" t="s">
        <v>4</v>
      </c>
      <c r="N8" s="8"/>
      <c r="P8" t="str">
        <f t="shared" si="6"/>
        <v/>
      </c>
    </row>
    <row r="9" spans="1:16" x14ac:dyDescent="0.3">
      <c r="A9" s="1">
        <v>1007</v>
      </c>
      <c r="B9" s="2">
        <v>41387.462429436353</v>
      </c>
      <c r="C9" s="1">
        <v>2</v>
      </c>
      <c r="D9" s="1">
        <v>194</v>
      </c>
      <c r="E9">
        <f t="shared" si="0"/>
        <v>1</v>
      </c>
      <c r="F9" s="13">
        <f t="shared" si="1"/>
        <v>3</v>
      </c>
      <c r="G9" s="13">
        <f t="shared" si="2"/>
        <v>3</v>
      </c>
      <c r="H9" s="15" t="str">
        <f t="shared" si="3"/>
        <v/>
      </c>
      <c r="I9" s="14" t="str">
        <f t="shared" si="4"/>
        <v/>
      </c>
      <c r="J9" s="16" t="str">
        <f t="shared" si="5"/>
        <v/>
      </c>
      <c r="L9" s="1">
        <v>0</v>
      </c>
      <c r="M9" s="12"/>
      <c r="N9" s="1">
        <v>5</v>
      </c>
      <c r="P9" t="str">
        <f t="shared" si="6"/>
        <v/>
      </c>
    </row>
    <row r="10" spans="1:16" x14ac:dyDescent="0.3">
      <c r="A10" s="1">
        <v>1008</v>
      </c>
      <c r="B10" s="2">
        <v>41191.865901893216</v>
      </c>
      <c r="C10" s="1">
        <v>5</v>
      </c>
      <c r="D10" s="1">
        <v>280</v>
      </c>
      <c r="E10">
        <f t="shared" si="0"/>
        <v>3</v>
      </c>
      <c r="F10" s="13">
        <f t="shared" si="1"/>
        <v>2</v>
      </c>
      <c r="G10" s="13">
        <f t="shared" si="2"/>
        <v>2</v>
      </c>
      <c r="H10" s="15" t="str">
        <f t="shared" si="3"/>
        <v/>
      </c>
      <c r="I10" s="14" t="str">
        <f t="shared" si="4"/>
        <v/>
      </c>
      <c r="J10" s="16" t="str">
        <f t="shared" si="5"/>
        <v/>
      </c>
      <c r="L10" s="1">
        <v>0.2</v>
      </c>
      <c r="M10" s="17">
        <f>_xlfn.PERCENTILE.INC($C$2:$C$308, L9)</f>
        <v>0</v>
      </c>
      <c r="N10" s="1">
        <v>4</v>
      </c>
      <c r="P10" t="str">
        <f t="shared" si="6"/>
        <v/>
      </c>
    </row>
    <row r="11" spans="1:16" x14ac:dyDescent="0.3">
      <c r="A11" s="1">
        <v>1009</v>
      </c>
      <c r="B11" s="2">
        <v>41236.713371043734</v>
      </c>
      <c r="C11" s="1">
        <v>8</v>
      </c>
      <c r="D11" s="1">
        <v>160</v>
      </c>
      <c r="E11">
        <f t="shared" si="0"/>
        <v>3</v>
      </c>
      <c r="F11" s="13">
        <f t="shared" si="1"/>
        <v>1</v>
      </c>
      <c r="G11" s="13">
        <f t="shared" si="2"/>
        <v>3</v>
      </c>
      <c r="H11" s="15" t="str">
        <f t="shared" si="3"/>
        <v/>
      </c>
      <c r="I11" s="14" t="str">
        <f t="shared" si="4"/>
        <v/>
      </c>
      <c r="J11" s="16" t="str">
        <f t="shared" si="5"/>
        <v/>
      </c>
      <c r="L11" s="1">
        <v>0.4</v>
      </c>
      <c r="M11" s="17">
        <f t="shared" ref="M11:M13" si="8">_xlfn.PERCENTILE.INC($C$2:$C$308, L10)</f>
        <v>2</v>
      </c>
      <c r="N11" s="1">
        <v>3</v>
      </c>
      <c r="P11" t="str">
        <f t="shared" si="6"/>
        <v/>
      </c>
    </row>
    <row r="12" spans="1:16" x14ac:dyDescent="0.3">
      <c r="A12" s="1">
        <v>1010</v>
      </c>
      <c r="B12" s="2">
        <v>41256.509051577079</v>
      </c>
      <c r="C12" s="1">
        <v>3</v>
      </c>
      <c r="D12" s="1">
        <v>207</v>
      </c>
      <c r="E12">
        <f t="shared" si="0"/>
        <v>2</v>
      </c>
      <c r="F12" s="13">
        <f t="shared" si="1"/>
        <v>3</v>
      </c>
      <c r="G12" s="13">
        <f t="shared" si="2"/>
        <v>3</v>
      </c>
      <c r="H12" s="15" t="str">
        <f t="shared" si="3"/>
        <v/>
      </c>
      <c r="I12" s="14" t="str">
        <f t="shared" si="4"/>
        <v/>
      </c>
      <c r="J12" s="16" t="str">
        <f t="shared" si="5"/>
        <v/>
      </c>
      <c r="L12" s="1">
        <v>0.6</v>
      </c>
      <c r="M12" s="17">
        <f t="shared" si="8"/>
        <v>4</v>
      </c>
      <c r="N12" s="1">
        <v>2</v>
      </c>
      <c r="P12" t="str">
        <f t="shared" si="6"/>
        <v/>
      </c>
    </row>
    <row r="13" spans="1:16" x14ac:dyDescent="0.3">
      <c r="A13" s="1">
        <v>1011</v>
      </c>
      <c r="B13" s="2">
        <v>41250.771562391994</v>
      </c>
      <c r="C13" s="1">
        <v>2</v>
      </c>
      <c r="D13" s="1">
        <v>20</v>
      </c>
      <c r="E13">
        <f t="shared" si="0"/>
        <v>2</v>
      </c>
      <c r="F13" s="13">
        <f t="shared" si="1"/>
        <v>3</v>
      </c>
      <c r="G13" s="13">
        <f t="shared" si="2"/>
        <v>5</v>
      </c>
      <c r="H13" s="15" t="str">
        <f t="shared" si="3"/>
        <v/>
      </c>
      <c r="I13" s="14" t="str">
        <f t="shared" si="4"/>
        <v/>
      </c>
      <c r="J13" s="16" t="str">
        <f t="shared" si="5"/>
        <v/>
      </c>
      <c r="L13" s="1">
        <v>0.8</v>
      </c>
      <c r="M13" s="17">
        <f t="shared" si="8"/>
        <v>6</v>
      </c>
      <c r="N13" s="1">
        <v>1</v>
      </c>
      <c r="P13" t="str">
        <f t="shared" si="6"/>
        <v/>
      </c>
    </row>
    <row r="14" spans="1:16" x14ac:dyDescent="0.3">
      <c r="A14" s="1">
        <v>1012</v>
      </c>
      <c r="B14" s="2">
        <v>41340.283235983457</v>
      </c>
      <c r="C14" s="1">
        <v>8</v>
      </c>
      <c r="D14" s="1">
        <v>616</v>
      </c>
      <c r="E14">
        <f t="shared" si="0"/>
        <v>1</v>
      </c>
      <c r="F14" s="13">
        <f t="shared" si="1"/>
        <v>1</v>
      </c>
      <c r="G14" s="13">
        <f t="shared" si="2"/>
        <v>1</v>
      </c>
      <c r="H14" s="15" t="str">
        <f t="shared" si="3"/>
        <v/>
      </c>
      <c r="I14" s="14" t="str">
        <f t="shared" si="4"/>
        <v/>
      </c>
      <c r="J14" s="16" t="str">
        <f t="shared" si="5"/>
        <v/>
      </c>
      <c r="L14" s="1"/>
      <c r="N14" s="1"/>
      <c r="P14" t="str">
        <f t="shared" si="6"/>
        <v/>
      </c>
    </row>
    <row r="15" spans="1:16" ht="16.2" thickBot="1" x14ac:dyDescent="0.35">
      <c r="A15" s="1">
        <v>1013</v>
      </c>
      <c r="B15" s="2">
        <v>41342.133605765586</v>
      </c>
      <c r="C15" s="1">
        <v>1</v>
      </c>
      <c r="D15" s="1">
        <v>63</v>
      </c>
      <c r="E15">
        <f t="shared" si="0"/>
        <v>1</v>
      </c>
      <c r="F15" s="13">
        <f t="shared" si="1"/>
        <v>4</v>
      </c>
      <c r="G15" s="13">
        <f t="shared" si="2"/>
        <v>4</v>
      </c>
      <c r="H15" s="15" t="str">
        <f t="shared" si="3"/>
        <v/>
      </c>
      <c r="I15" s="14" t="str">
        <f t="shared" si="4"/>
        <v/>
      </c>
      <c r="J15" s="16" t="str">
        <f t="shared" si="5"/>
        <v/>
      </c>
      <c r="L15" s="10"/>
      <c r="M15" s="9" t="s">
        <v>5</v>
      </c>
      <c r="N15" s="10"/>
      <c r="P15" t="str">
        <f t="shared" si="6"/>
        <v/>
      </c>
    </row>
    <row r="16" spans="1:16" x14ac:dyDescent="0.3">
      <c r="A16" s="1">
        <v>1014</v>
      </c>
      <c r="B16" s="2">
        <v>41335.016487386056</v>
      </c>
      <c r="C16" s="1">
        <v>3</v>
      </c>
      <c r="D16" s="1">
        <v>30</v>
      </c>
      <c r="E16">
        <f t="shared" si="0"/>
        <v>1</v>
      </c>
      <c r="F16" s="13">
        <f t="shared" si="1"/>
        <v>3</v>
      </c>
      <c r="G16" s="13">
        <f t="shared" si="2"/>
        <v>5</v>
      </c>
      <c r="H16" s="15" t="str">
        <f t="shared" si="3"/>
        <v/>
      </c>
      <c r="I16" s="14" t="str">
        <f t="shared" si="4"/>
        <v/>
      </c>
      <c r="J16" s="16" t="str">
        <f t="shared" si="5"/>
        <v/>
      </c>
      <c r="L16" s="1">
        <v>0</v>
      </c>
      <c r="M16" s="18">
        <f>_xlfn.PERCENTILE.INC($D$2:$D$308,L16)</f>
        <v>0</v>
      </c>
      <c r="N16" s="1">
        <v>5</v>
      </c>
      <c r="P16" t="str">
        <f t="shared" si="6"/>
        <v/>
      </c>
    </row>
    <row r="17" spans="1:16" x14ac:dyDescent="0.3">
      <c r="A17" s="1">
        <v>1015</v>
      </c>
      <c r="B17" s="2">
        <v>41323.494585881774</v>
      </c>
      <c r="C17" s="1">
        <v>6</v>
      </c>
      <c r="D17" s="1">
        <v>558</v>
      </c>
      <c r="E17">
        <f t="shared" si="0"/>
        <v>1</v>
      </c>
      <c r="F17" s="13">
        <f t="shared" si="1"/>
        <v>1</v>
      </c>
      <c r="G17" s="13">
        <f t="shared" si="2"/>
        <v>1</v>
      </c>
      <c r="H17" s="15" t="str">
        <f t="shared" si="3"/>
        <v/>
      </c>
      <c r="I17" s="14" t="str">
        <f t="shared" si="4"/>
        <v/>
      </c>
      <c r="J17" s="16" t="str">
        <f t="shared" si="5"/>
        <v/>
      </c>
      <c r="L17" s="1">
        <v>0.2</v>
      </c>
      <c r="M17" s="18">
        <f t="shared" ref="M17:M20" si="9">_xlfn.PERCENTILE.INC($D$2:$D$308,L17)</f>
        <v>42</v>
      </c>
      <c r="N17" s="1">
        <v>4</v>
      </c>
      <c r="P17" t="str">
        <f t="shared" si="6"/>
        <v/>
      </c>
    </row>
    <row r="18" spans="1:16" x14ac:dyDescent="0.3">
      <c r="A18" s="1">
        <v>1016</v>
      </c>
      <c r="B18" s="2">
        <v>41161.082869494021</v>
      </c>
      <c r="C18" s="1">
        <v>1</v>
      </c>
      <c r="D18" s="1">
        <v>29</v>
      </c>
      <c r="E18">
        <f t="shared" si="0"/>
        <v>4</v>
      </c>
      <c r="F18" s="13">
        <f t="shared" si="1"/>
        <v>4</v>
      </c>
      <c r="G18" s="13">
        <f t="shared" si="2"/>
        <v>5</v>
      </c>
      <c r="H18" s="15" t="str">
        <f t="shared" si="3"/>
        <v>Ignore</v>
      </c>
      <c r="I18" s="14" t="str">
        <f t="shared" si="4"/>
        <v/>
      </c>
      <c r="J18" s="16" t="str">
        <f t="shared" si="5"/>
        <v/>
      </c>
      <c r="L18" s="1">
        <v>0.4</v>
      </c>
      <c r="M18" s="18">
        <f t="shared" si="9"/>
        <v>140</v>
      </c>
      <c r="N18" s="1">
        <v>3</v>
      </c>
      <c r="P18" t="str">
        <f t="shared" si="6"/>
        <v>Ignore</v>
      </c>
    </row>
    <row r="19" spans="1:16" x14ac:dyDescent="0.3">
      <c r="A19" s="1">
        <v>1017</v>
      </c>
      <c r="B19" s="2">
        <v>41175.45460683175</v>
      </c>
      <c r="C19" s="1">
        <v>7</v>
      </c>
      <c r="D19" s="1">
        <v>658</v>
      </c>
      <c r="E19">
        <f t="shared" si="0"/>
        <v>4</v>
      </c>
      <c r="F19" s="13">
        <f t="shared" si="1"/>
        <v>1</v>
      </c>
      <c r="G19" s="13">
        <f t="shared" si="2"/>
        <v>1</v>
      </c>
      <c r="H19" s="15" t="str">
        <f t="shared" si="3"/>
        <v/>
      </c>
      <c r="I19" s="14" t="str">
        <f t="shared" si="4"/>
        <v/>
      </c>
      <c r="J19" s="16" t="str">
        <f t="shared" si="5"/>
        <v>Contact</v>
      </c>
      <c r="L19" s="1">
        <v>0.6</v>
      </c>
      <c r="M19" s="18">
        <f t="shared" si="9"/>
        <v>219.6</v>
      </c>
      <c r="N19" s="1">
        <v>2</v>
      </c>
      <c r="P19" t="str">
        <f t="shared" si="6"/>
        <v>Contact</v>
      </c>
    </row>
    <row r="20" spans="1:16" x14ac:dyDescent="0.3">
      <c r="A20" s="1">
        <v>1018</v>
      </c>
      <c r="B20" s="2">
        <v>41362.13515593038</v>
      </c>
      <c r="C20" s="1">
        <v>2</v>
      </c>
      <c r="D20" s="1">
        <v>152</v>
      </c>
      <c r="E20">
        <f t="shared" si="0"/>
        <v>1</v>
      </c>
      <c r="F20" s="13">
        <f t="shared" si="1"/>
        <v>3</v>
      </c>
      <c r="G20" s="13">
        <f t="shared" si="2"/>
        <v>3</v>
      </c>
      <c r="H20" s="15" t="str">
        <f t="shared" si="3"/>
        <v/>
      </c>
      <c r="I20" s="14" t="str">
        <f t="shared" si="4"/>
        <v/>
      </c>
      <c r="J20" s="16" t="str">
        <f t="shared" si="5"/>
        <v/>
      </c>
      <c r="L20" s="1">
        <v>0.8</v>
      </c>
      <c r="M20" s="18">
        <f t="shared" si="9"/>
        <v>424.8</v>
      </c>
      <c r="N20" s="1">
        <v>1</v>
      </c>
      <c r="P20" t="str">
        <f t="shared" si="6"/>
        <v/>
      </c>
    </row>
    <row r="21" spans="1:16" x14ac:dyDescent="0.3">
      <c r="A21" s="1">
        <v>1019</v>
      </c>
      <c r="B21" s="2">
        <v>41413.716185999619</v>
      </c>
      <c r="C21" s="1">
        <v>7</v>
      </c>
      <c r="D21" s="1">
        <v>63</v>
      </c>
      <c r="E21">
        <f t="shared" si="0"/>
        <v>1</v>
      </c>
      <c r="F21" s="13">
        <f t="shared" si="1"/>
        <v>1</v>
      </c>
      <c r="G21" s="13">
        <f t="shared" si="2"/>
        <v>4</v>
      </c>
      <c r="H21" s="15" t="str">
        <f t="shared" si="3"/>
        <v/>
      </c>
      <c r="I21" s="14" t="str">
        <f t="shared" si="4"/>
        <v>Upsell</v>
      </c>
      <c r="J21" s="16" t="str">
        <f t="shared" si="5"/>
        <v/>
      </c>
      <c r="P21" t="str">
        <f t="shared" si="6"/>
        <v>Upsell</v>
      </c>
    </row>
    <row r="22" spans="1:16" x14ac:dyDescent="0.3">
      <c r="A22" s="1">
        <v>1020</v>
      </c>
      <c r="B22" s="2">
        <v>41401.63277300405</v>
      </c>
      <c r="C22" s="1">
        <v>1</v>
      </c>
      <c r="D22" s="1">
        <v>46</v>
      </c>
      <c r="E22">
        <f t="shared" si="0"/>
        <v>1</v>
      </c>
      <c r="F22" s="13">
        <f t="shared" si="1"/>
        <v>4</v>
      </c>
      <c r="G22" s="13">
        <f t="shared" si="2"/>
        <v>4</v>
      </c>
      <c r="H22" s="15" t="str">
        <f t="shared" si="3"/>
        <v/>
      </c>
      <c r="I22" s="14" t="str">
        <f t="shared" si="4"/>
        <v/>
      </c>
      <c r="J22" s="16" t="str">
        <f t="shared" si="5"/>
        <v/>
      </c>
      <c r="P22" t="str">
        <f t="shared" si="6"/>
        <v/>
      </c>
    </row>
    <row r="23" spans="1:16" x14ac:dyDescent="0.3">
      <c r="A23" s="1">
        <v>1021</v>
      </c>
      <c r="B23" s="2">
        <v>41333.988026601161</v>
      </c>
      <c r="C23" s="1">
        <v>8</v>
      </c>
      <c r="D23" s="1">
        <v>712</v>
      </c>
      <c r="E23">
        <f t="shared" si="0"/>
        <v>1</v>
      </c>
      <c r="F23" s="13">
        <f t="shared" si="1"/>
        <v>1</v>
      </c>
      <c r="G23" s="13">
        <f t="shared" si="2"/>
        <v>1</v>
      </c>
      <c r="H23" s="15" t="str">
        <f t="shared" si="3"/>
        <v/>
      </c>
      <c r="I23" s="14" t="str">
        <f t="shared" si="4"/>
        <v/>
      </c>
      <c r="J23" s="16" t="str">
        <f t="shared" si="5"/>
        <v/>
      </c>
      <c r="P23" t="str">
        <f t="shared" si="6"/>
        <v/>
      </c>
    </row>
    <row r="24" spans="1:16" x14ac:dyDescent="0.3">
      <c r="A24" s="1">
        <v>1022</v>
      </c>
      <c r="B24" s="2">
        <v>41392.485465924859</v>
      </c>
      <c r="C24" s="1">
        <v>4</v>
      </c>
      <c r="D24" s="1">
        <v>40</v>
      </c>
      <c r="E24">
        <f t="shared" si="0"/>
        <v>1</v>
      </c>
      <c r="F24" s="13">
        <f t="shared" si="1"/>
        <v>2</v>
      </c>
      <c r="G24" s="13">
        <f t="shared" si="2"/>
        <v>5</v>
      </c>
      <c r="H24" s="15" t="str">
        <f t="shared" si="3"/>
        <v/>
      </c>
      <c r="I24" s="14" t="str">
        <f t="shared" si="4"/>
        <v>Upsell</v>
      </c>
      <c r="J24" s="16" t="str">
        <f t="shared" si="5"/>
        <v/>
      </c>
      <c r="P24" t="str">
        <f t="shared" si="6"/>
        <v>Upsell</v>
      </c>
    </row>
    <row r="25" spans="1:16" x14ac:dyDescent="0.3">
      <c r="A25" s="1">
        <v>1023</v>
      </c>
      <c r="B25" s="2">
        <v>41347.238183837144</v>
      </c>
      <c r="C25" s="1">
        <v>6</v>
      </c>
      <c r="D25" s="1">
        <v>348</v>
      </c>
      <c r="E25">
        <f t="shared" si="0"/>
        <v>1</v>
      </c>
      <c r="F25" s="13">
        <f t="shared" si="1"/>
        <v>1</v>
      </c>
      <c r="G25" s="13">
        <f t="shared" si="2"/>
        <v>2</v>
      </c>
      <c r="H25" s="15" t="str">
        <f t="shared" si="3"/>
        <v/>
      </c>
      <c r="I25" s="14" t="str">
        <f t="shared" si="4"/>
        <v/>
      </c>
      <c r="J25" s="16" t="str">
        <f t="shared" si="5"/>
        <v/>
      </c>
      <c r="P25" t="str">
        <f t="shared" si="6"/>
        <v/>
      </c>
    </row>
    <row r="26" spans="1:16" x14ac:dyDescent="0.3">
      <c r="A26" s="1">
        <v>1024</v>
      </c>
      <c r="B26" s="2">
        <v>41328.784705291153</v>
      </c>
      <c r="C26" s="1">
        <v>9</v>
      </c>
      <c r="D26" s="1">
        <v>342</v>
      </c>
      <c r="E26">
        <f t="shared" si="0"/>
        <v>1</v>
      </c>
      <c r="F26" s="13">
        <f t="shared" si="1"/>
        <v>1</v>
      </c>
      <c r="G26" s="13">
        <f t="shared" si="2"/>
        <v>2</v>
      </c>
      <c r="H26" s="15" t="str">
        <f t="shared" si="3"/>
        <v/>
      </c>
      <c r="I26" s="14" t="str">
        <f t="shared" si="4"/>
        <v/>
      </c>
      <c r="J26" s="16" t="str">
        <f t="shared" si="5"/>
        <v/>
      </c>
      <c r="P26" t="str">
        <f t="shared" si="6"/>
        <v/>
      </c>
    </row>
    <row r="27" spans="1:16" x14ac:dyDescent="0.3">
      <c r="A27" s="1">
        <v>1025</v>
      </c>
      <c r="B27" s="2">
        <v>41226.407270797587</v>
      </c>
      <c r="C27" s="1">
        <v>7</v>
      </c>
      <c r="D27" s="1">
        <v>567</v>
      </c>
      <c r="E27">
        <f t="shared" si="0"/>
        <v>3</v>
      </c>
      <c r="F27" s="13">
        <f t="shared" si="1"/>
        <v>1</v>
      </c>
      <c r="G27" s="13">
        <f t="shared" si="2"/>
        <v>1</v>
      </c>
      <c r="H27" s="15" t="str">
        <f t="shared" si="3"/>
        <v/>
      </c>
      <c r="I27" s="14" t="str">
        <f t="shared" si="4"/>
        <v/>
      </c>
      <c r="J27" s="16" t="str">
        <f t="shared" si="5"/>
        <v/>
      </c>
      <c r="P27" t="str">
        <f t="shared" si="6"/>
        <v/>
      </c>
    </row>
    <row r="28" spans="1:16" x14ac:dyDescent="0.3">
      <c r="A28" s="1">
        <v>1026</v>
      </c>
      <c r="B28" s="2">
        <v>41281.066182864357</v>
      </c>
      <c r="C28" s="1">
        <v>5</v>
      </c>
      <c r="D28" s="1">
        <v>170</v>
      </c>
      <c r="E28">
        <f t="shared" si="0"/>
        <v>2</v>
      </c>
      <c r="F28" s="13">
        <f t="shared" si="1"/>
        <v>2</v>
      </c>
      <c r="G28" s="13">
        <f t="shared" si="2"/>
        <v>3</v>
      </c>
      <c r="H28" s="15" t="str">
        <f t="shared" si="3"/>
        <v/>
      </c>
      <c r="I28" s="14" t="str">
        <f t="shared" si="4"/>
        <v/>
      </c>
      <c r="J28" s="16" t="str">
        <f t="shared" si="5"/>
        <v/>
      </c>
      <c r="P28" t="str">
        <f t="shared" si="6"/>
        <v/>
      </c>
    </row>
    <row r="29" spans="1:16" x14ac:dyDescent="0.3">
      <c r="A29" s="1">
        <v>1027</v>
      </c>
      <c r="B29" s="2">
        <v>41164.073513450712</v>
      </c>
      <c r="C29" s="1">
        <v>7</v>
      </c>
      <c r="D29" s="1">
        <v>567</v>
      </c>
      <c r="E29">
        <f t="shared" si="0"/>
        <v>4</v>
      </c>
      <c r="F29" s="13">
        <f t="shared" si="1"/>
        <v>1</v>
      </c>
      <c r="G29" s="13">
        <f t="shared" si="2"/>
        <v>1</v>
      </c>
      <c r="H29" s="15" t="str">
        <f t="shared" si="3"/>
        <v/>
      </c>
      <c r="I29" s="14" t="str">
        <f t="shared" si="4"/>
        <v/>
      </c>
      <c r="J29" s="16" t="str">
        <f t="shared" si="5"/>
        <v>Contact</v>
      </c>
      <c r="P29" t="str">
        <f t="shared" si="6"/>
        <v>Contact</v>
      </c>
    </row>
    <row r="30" spans="1:16" x14ac:dyDescent="0.3">
      <c r="A30" s="1">
        <v>1028</v>
      </c>
      <c r="B30" s="2">
        <v>41201.135605122035</v>
      </c>
      <c r="C30" s="1">
        <v>9</v>
      </c>
      <c r="D30" s="1">
        <v>90</v>
      </c>
      <c r="E30">
        <f t="shared" si="0"/>
        <v>3</v>
      </c>
      <c r="F30" s="13">
        <f t="shared" si="1"/>
        <v>1</v>
      </c>
      <c r="G30" s="13">
        <f t="shared" si="2"/>
        <v>4</v>
      </c>
      <c r="H30" s="15" t="str">
        <f t="shared" si="3"/>
        <v/>
      </c>
      <c r="I30" s="14" t="str">
        <f t="shared" si="4"/>
        <v/>
      </c>
      <c r="J30" s="16" t="str">
        <f t="shared" si="5"/>
        <v/>
      </c>
      <c r="P30" t="str">
        <f t="shared" si="6"/>
        <v/>
      </c>
    </row>
    <row r="31" spans="1:16" x14ac:dyDescent="0.3">
      <c r="A31" s="1">
        <v>1029</v>
      </c>
      <c r="B31" s="2">
        <v>41135.921149673624</v>
      </c>
      <c r="C31" s="1">
        <v>9</v>
      </c>
      <c r="D31" s="1">
        <v>585</v>
      </c>
      <c r="E31">
        <f t="shared" si="0"/>
        <v>4</v>
      </c>
      <c r="F31" s="13">
        <f t="shared" si="1"/>
        <v>1</v>
      </c>
      <c r="G31" s="13">
        <f t="shared" si="2"/>
        <v>1</v>
      </c>
      <c r="H31" s="15" t="str">
        <f t="shared" si="3"/>
        <v/>
      </c>
      <c r="I31" s="14" t="str">
        <f t="shared" si="4"/>
        <v/>
      </c>
      <c r="J31" s="16" t="str">
        <f t="shared" si="5"/>
        <v>Contact</v>
      </c>
      <c r="P31" t="str">
        <f t="shared" si="6"/>
        <v>Contact</v>
      </c>
    </row>
    <row r="32" spans="1:16" x14ac:dyDescent="0.3">
      <c r="A32" s="1">
        <v>1030</v>
      </c>
      <c r="B32" s="2">
        <v>41168.351520221076</v>
      </c>
      <c r="C32" s="1">
        <v>4</v>
      </c>
      <c r="D32" s="1">
        <v>128</v>
      </c>
      <c r="E32">
        <f t="shared" si="0"/>
        <v>4</v>
      </c>
      <c r="F32" s="13">
        <f t="shared" si="1"/>
        <v>2</v>
      </c>
      <c r="G32" s="13">
        <f t="shared" si="2"/>
        <v>4</v>
      </c>
      <c r="H32" s="15" t="str">
        <f t="shared" si="3"/>
        <v/>
      </c>
      <c r="I32" s="14" t="str">
        <f t="shared" si="4"/>
        <v/>
      </c>
      <c r="J32" s="16" t="str">
        <f t="shared" si="5"/>
        <v/>
      </c>
      <c r="P32" t="str">
        <f t="shared" si="6"/>
        <v/>
      </c>
    </row>
    <row r="33" spans="1:16" x14ac:dyDescent="0.3">
      <c r="A33" s="1">
        <v>1031</v>
      </c>
      <c r="B33" s="2">
        <v>41197.901835805438</v>
      </c>
      <c r="C33" s="1">
        <v>5</v>
      </c>
      <c r="D33" s="1">
        <v>150</v>
      </c>
      <c r="E33">
        <f t="shared" si="0"/>
        <v>3</v>
      </c>
      <c r="F33" s="13">
        <f t="shared" si="1"/>
        <v>2</v>
      </c>
      <c r="G33" s="13">
        <f t="shared" si="2"/>
        <v>3</v>
      </c>
      <c r="H33" s="15" t="str">
        <f t="shared" si="3"/>
        <v/>
      </c>
      <c r="I33" s="14" t="str">
        <f t="shared" si="4"/>
        <v/>
      </c>
      <c r="J33" s="16" t="str">
        <f t="shared" si="5"/>
        <v/>
      </c>
      <c r="P33" t="str">
        <f t="shared" si="6"/>
        <v/>
      </c>
    </row>
    <row r="34" spans="1:16" x14ac:dyDescent="0.3">
      <c r="A34" s="1">
        <v>1032</v>
      </c>
      <c r="B34" s="2">
        <v>41161.671558035421</v>
      </c>
      <c r="C34" s="1">
        <v>9</v>
      </c>
      <c r="D34" s="1">
        <v>144</v>
      </c>
      <c r="E34">
        <f t="shared" si="0"/>
        <v>4</v>
      </c>
      <c r="F34" s="13">
        <f t="shared" si="1"/>
        <v>1</v>
      </c>
      <c r="G34" s="13">
        <f t="shared" si="2"/>
        <v>3</v>
      </c>
      <c r="H34" s="15" t="str">
        <f t="shared" si="3"/>
        <v/>
      </c>
      <c r="I34" s="14" t="str">
        <f t="shared" si="4"/>
        <v/>
      </c>
      <c r="J34" s="16" t="str">
        <f t="shared" si="5"/>
        <v/>
      </c>
      <c r="P34" t="str">
        <f t="shared" si="6"/>
        <v/>
      </c>
    </row>
    <row r="35" spans="1:16" x14ac:dyDescent="0.3">
      <c r="A35" s="1">
        <v>1033</v>
      </c>
      <c r="B35" s="2">
        <v>41409.973720031012</v>
      </c>
      <c r="C35" s="1">
        <v>3</v>
      </c>
      <c r="D35" s="1">
        <v>12</v>
      </c>
      <c r="E35">
        <f t="shared" si="0"/>
        <v>1</v>
      </c>
      <c r="F35" s="13">
        <f t="shared" si="1"/>
        <v>3</v>
      </c>
      <c r="G35" s="13">
        <f t="shared" si="2"/>
        <v>5</v>
      </c>
      <c r="H35" s="15" t="str">
        <f t="shared" si="3"/>
        <v/>
      </c>
      <c r="I35" s="14" t="str">
        <f t="shared" si="4"/>
        <v/>
      </c>
      <c r="J35" s="16" t="str">
        <f t="shared" si="5"/>
        <v/>
      </c>
      <c r="P35" t="str">
        <f t="shared" si="6"/>
        <v/>
      </c>
    </row>
    <row r="36" spans="1:16" x14ac:dyDescent="0.3">
      <c r="A36" s="1">
        <v>1034</v>
      </c>
      <c r="B36" s="2">
        <v>41341.128005425853</v>
      </c>
      <c r="C36" s="1">
        <v>9</v>
      </c>
      <c r="D36" s="1">
        <v>855</v>
      </c>
      <c r="E36">
        <f t="shared" si="0"/>
        <v>1</v>
      </c>
      <c r="F36" s="13">
        <f t="shared" si="1"/>
        <v>1</v>
      </c>
      <c r="G36" s="13">
        <f t="shared" si="2"/>
        <v>1</v>
      </c>
      <c r="H36" s="15" t="str">
        <f t="shared" si="3"/>
        <v/>
      </c>
      <c r="I36" s="14" t="str">
        <f t="shared" si="4"/>
        <v/>
      </c>
      <c r="J36" s="16" t="str">
        <f t="shared" si="5"/>
        <v/>
      </c>
      <c r="P36" t="str">
        <f t="shared" si="6"/>
        <v/>
      </c>
    </row>
    <row r="37" spans="1:16" x14ac:dyDescent="0.3">
      <c r="A37" s="1">
        <v>1035</v>
      </c>
      <c r="B37" s="2">
        <v>41394.490610830602</v>
      </c>
      <c r="C37" s="1">
        <v>5</v>
      </c>
      <c r="D37" s="1">
        <v>60</v>
      </c>
      <c r="E37">
        <f t="shared" si="0"/>
        <v>1</v>
      </c>
      <c r="F37" s="13">
        <f t="shared" si="1"/>
        <v>2</v>
      </c>
      <c r="G37" s="13">
        <f t="shared" si="2"/>
        <v>4</v>
      </c>
      <c r="H37" s="15" t="str">
        <f t="shared" si="3"/>
        <v/>
      </c>
      <c r="I37" s="14" t="str">
        <f t="shared" si="4"/>
        <v>Upsell</v>
      </c>
      <c r="J37" s="16" t="str">
        <f t="shared" si="5"/>
        <v/>
      </c>
      <c r="P37" t="str">
        <f t="shared" si="6"/>
        <v>Upsell</v>
      </c>
    </row>
    <row r="38" spans="1:16" x14ac:dyDescent="0.3">
      <c r="A38" s="1">
        <v>1036</v>
      </c>
      <c r="B38" s="2">
        <v>41405.59982131343</v>
      </c>
      <c r="C38" s="1">
        <v>7</v>
      </c>
      <c r="D38" s="1">
        <v>217</v>
      </c>
      <c r="E38">
        <f t="shared" si="0"/>
        <v>1</v>
      </c>
      <c r="F38" s="13">
        <f t="shared" si="1"/>
        <v>1</v>
      </c>
      <c r="G38" s="13">
        <f t="shared" si="2"/>
        <v>3</v>
      </c>
      <c r="H38" s="15" t="str">
        <f t="shared" si="3"/>
        <v/>
      </c>
      <c r="I38" s="14" t="str">
        <f t="shared" si="4"/>
        <v/>
      </c>
      <c r="J38" s="16" t="str">
        <f t="shared" si="5"/>
        <v/>
      </c>
      <c r="P38" t="str">
        <f t="shared" si="6"/>
        <v/>
      </c>
    </row>
    <row r="39" spans="1:16" x14ac:dyDescent="0.3">
      <c r="A39" s="1">
        <v>1037</v>
      </c>
      <c r="B39" s="2">
        <v>41280.633456560689</v>
      </c>
      <c r="C39" s="1">
        <v>7</v>
      </c>
      <c r="D39" s="1">
        <v>497</v>
      </c>
      <c r="E39">
        <f t="shared" si="0"/>
        <v>2</v>
      </c>
      <c r="F39" s="13">
        <f t="shared" si="1"/>
        <v>1</v>
      </c>
      <c r="G39" s="13">
        <f t="shared" si="2"/>
        <v>1</v>
      </c>
      <c r="H39" s="15" t="str">
        <f t="shared" si="3"/>
        <v/>
      </c>
      <c r="I39" s="14" t="str">
        <f t="shared" si="4"/>
        <v/>
      </c>
      <c r="J39" s="16" t="str">
        <f t="shared" si="5"/>
        <v/>
      </c>
      <c r="P39" t="str">
        <f t="shared" si="6"/>
        <v/>
      </c>
    </row>
    <row r="40" spans="1:16" x14ac:dyDescent="0.3">
      <c r="A40" s="1">
        <v>1038</v>
      </c>
      <c r="B40" s="2">
        <v>41316.994930250039</v>
      </c>
      <c r="C40" s="1">
        <v>5</v>
      </c>
      <c r="D40" s="1">
        <v>50</v>
      </c>
      <c r="E40">
        <f t="shared" si="0"/>
        <v>1</v>
      </c>
      <c r="F40" s="13">
        <f t="shared" si="1"/>
        <v>2</v>
      </c>
      <c r="G40" s="13">
        <f t="shared" si="2"/>
        <v>4</v>
      </c>
      <c r="H40" s="15" t="str">
        <f t="shared" si="3"/>
        <v/>
      </c>
      <c r="I40" s="14" t="str">
        <f t="shared" si="4"/>
        <v>Upsell</v>
      </c>
      <c r="J40" s="16" t="str">
        <f t="shared" si="5"/>
        <v/>
      </c>
      <c r="P40" t="str">
        <f t="shared" si="6"/>
        <v>Upsell</v>
      </c>
    </row>
    <row r="41" spans="1:16" x14ac:dyDescent="0.3">
      <c r="A41" s="1">
        <v>1039</v>
      </c>
      <c r="B41" s="2">
        <v>41235.117928165986</v>
      </c>
      <c r="C41" s="1">
        <v>8</v>
      </c>
      <c r="D41" s="1">
        <v>680</v>
      </c>
      <c r="E41">
        <f t="shared" si="0"/>
        <v>3</v>
      </c>
      <c r="F41" s="13">
        <f t="shared" si="1"/>
        <v>1</v>
      </c>
      <c r="G41" s="13">
        <f t="shared" si="2"/>
        <v>1</v>
      </c>
      <c r="H41" s="15" t="str">
        <f t="shared" si="3"/>
        <v/>
      </c>
      <c r="I41" s="14" t="str">
        <f t="shared" si="4"/>
        <v/>
      </c>
      <c r="J41" s="16" t="str">
        <f t="shared" si="5"/>
        <v/>
      </c>
      <c r="P41" t="str">
        <f t="shared" si="6"/>
        <v/>
      </c>
    </row>
    <row r="42" spans="1:16" x14ac:dyDescent="0.3">
      <c r="A42" s="1">
        <v>1040</v>
      </c>
      <c r="B42" s="2">
        <v>41192.964937604782</v>
      </c>
      <c r="C42" s="1">
        <v>6</v>
      </c>
      <c r="D42" s="1">
        <v>348</v>
      </c>
      <c r="E42">
        <f t="shared" si="0"/>
        <v>3</v>
      </c>
      <c r="F42" s="13">
        <f t="shared" si="1"/>
        <v>1</v>
      </c>
      <c r="G42" s="13">
        <f t="shared" si="2"/>
        <v>2</v>
      </c>
      <c r="H42" s="15" t="str">
        <f t="shared" si="3"/>
        <v/>
      </c>
      <c r="I42" s="14" t="str">
        <f t="shared" si="4"/>
        <v/>
      </c>
      <c r="J42" s="16" t="str">
        <f t="shared" si="5"/>
        <v/>
      </c>
      <c r="P42" t="str">
        <f t="shared" si="6"/>
        <v/>
      </c>
    </row>
    <row r="43" spans="1:16" x14ac:dyDescent="0.3">
      <c r="A43" s="1">
        <v>1041</v>
      </c>
      <c r="B43" s="2">
        <v>41421.402054619342</v>
      </c>
      <c r="C43" s="1">
        <v>1</v>
      </c>
      <c r="D43" s="1">
        <v>80</v>
      </c>
      <c r="E43">
        <f t="shared" si="0"/>
        <v>1</v>
      </c>
      <c r="F43" s="13">
        <f t="shared" si="1"/>
        <v>4</v>
      </c>
      <c r="G43" s="13">
        <f t="shared" si="2"/>
        <v>4</v>
      </c>
      <c r="H43" s="15" t="str">
        <f t="shared" si="3"/>
        <v/>
      </c>
      <c r="I43" s="14" t="str">
        <f t="shared" si="4"/>
        <v/>
      </c>
      <c r="J43" s="16" t="str">
        <f t="shared" si="5"/>
        <v/>
      </c>
      <c r="P43" t="str">
        <f t="shared" si="6"/>
        <v/>
      </c>
    </row>
    <row r="44" spans="1:16" x14ac:dyDescent="0.3">
      <c r="A44" s="1">
        <v>1042</v>
      </c>
      <c r="B44" s="2">
        <v>41389.960568664632</v>
      </c>
      <c r="C44" s="1">
        <v>5</v>
      </c>
      <c r="D44" s="1">
        <v>40</v>
      </c>
      <c r="E44">
        <f t="shared" si="0"/>
        <v>1</v>
      </c>
      <c r="F44" s="13">
        <f t="shared" si="1"/>
        <v>2</v>
      </c>
      <c r="G44" s="13">
        <f t="shared" si="2"/>
        <v>5</v>
      </c>
      <c r="H44" s="15" t="str">
        <f t="shared" si="3"/>
        <v/>
      </c>
      <c r="I44" s="14" t="str">
        <f t="shared" si="4"/>
        <v>Upsell</v>
      </c>
      <c r="J44" s="16" t="str">
        <f t="shared" si="5"/>
        <v/>
      </c>
      <c r="P44" t="str">
        <f t="shared" si="6"/>
        <v>Upsell</v>
      </c>
    </row>
    <row r="45" spans="1:16" x14ac:dyDescent="0.3">
      <c r="A45" s="1">
        <v>1043</v>
      </c>
      <c r="B45" s="2">
        <v>41273.481125557249</v>
      </c>
      <c r="C45" s="1">
        <v>5</v>
      </c>
      <c r="D45" s="1">
        <v>175</v>
      </c>
      <c r="E45">
        <f t="shared" si="0"/>
        <v>2</v>
      </c>
      <c r="F45" s="13">
        <f t="shared" si="1"/>
        <v>2</v>
      </c>
      <c r="G45" s="13">
        <f t="shared" si="2"/>
        <v>3</v>
      </c>
      <c r="H45" s="15" t="str">
        <f t="shared" si="3"/>
        <v/>
      </c>
      <c r="I45" s="14" t="str">
        <f t="shared" si="4"/>
        <v/>
      </c>
      <c r="J45" s="16" t="str">
        <f t="shared" si="5"/>
        <v/>
      </c>
      <c r="P45" t="str">
        <f t="shared" si="6"/>
        <v/>
      </c>
    </row>
    <row r="46" spans="1:16" x14ac:dyDescent="0.3">
      <c r="A46" s="1">
        <v>1044</v>
      </c>
      <c r="B46" s="2">
        <v>41217.797880493854</v>
      </c>
      <c r="C46" s="1">
        <v>3</v>
      </c>
      <c r="D46" s="1">
        <v>297</v>
      </c>
      <c r="E46">
        <f t="shared" si="0"/>
        <v>3</v>
      </c>
      <c r="F46" s="13">
        <f t="shared" si="1"/>
        <v>3</v>
      </c>
      <c r="G46" s="13">
        <f t="shared" si="2"/>
        <v>2</v>
      </c>
      <c r="H46" s="15" t="str">
        <f t="shared" si="3"/>
        <v/>
      </c>
      <c r="I46" s="14" t="str">
        <f t="shared" si="4"/>
        <v/>
      </c>
      <c r="J46" s="16" t="str">
        <f t="shared" si="5"/>
        <v/>
      </c>
      <c r="P46" t="str">
        <f t="shared" si="6"/>
        <v/>
      </c>
    </row>
    <row r="47" spans="1:16" x14ac:dyDescent="0.3">
      <c r="A47" s="1">
        <v>1045</v>
      </c>
      <c r="B47" s="2">
        <v>41186.435193343314</v>
      </c>
      <c r="C47" s="1">
        <v>7</v>
      </c>
      <c r="D47" s="1">
        <v>49</v>
      </c>
      <c r="E47">
        <f t="shared" si="0"/>
        <v>3</v>
      </c>
      <c r="F47" s="13">
        <f t="shared" si="1"/>
        <v>1</v>
      </c>
      <c r="G47" s="13">
        <f t="shared" si="2"/>
        <v>4</v>
      </c>
      <c r="H47" s="15" t="str">
        <f t="shared" si="3"/>
        <v/>
      </c>
      <c r="I47" s="14" t="str">
        <f t="shared" si="4"/>
        <v/>
      </c>
      <c r="J47" s="16" t="str">
        <f t="shared" si="5"/>
        <v/>
      </c>
      <c r="P47" t="str">
        <f t="shared" si="6"/>
        <v/>
      </c>
    </row>
    <row r="48" spans="1:16" x14ac:dyDescent="0.3">
      <c r="A48" s="1">
        <v>1046</v>
      </c>
      <c r="B48" s="2">
        <v>41175.945216802611</v>
      </c>
      <c r="C48" s="1">
        <v>9</v>
      </c>
      <c r="D48" s="1">
        <v>828</v>
      </c>
      <c r="E48">
        <f t="shared" si="0"/>
        <v>4</v>
      </c>
      <c r="F48" s="13">
        <f t="shared" si="1"/>
        <v>1</v>
      </c>
      <c r="G48" s="13">
        <f t="shared" si="2"/>
        <v>1</v>
      </c>
      <c r="H48" s="15" t="str">
        <f t="shared" si="3"/>
        <v/>
      </c>
      <c r="I48" s="14" t="str">
        <f t="shared" si="4"/>
        <v/>
      </c>
      <c r="J48" s="16" t="str">
        <f t="shared" si="5"/>
        <v>Contact</v>
      </c>
      <c r="P48" t="str">
        <f t="shared" si="6"/>
        <v>Contact</v>
      </c>
    </row>
    <row r="49" spans="1:16" x14ac:dyDescent="0.3">
      <c r="A49" s="1">
        <v>1047</v>
      </c>
      <c r="B49" s="2">
        <v>41341.947789598373</v>
      </c>
      <c r="C49" s="1">
        <v>5</v>
      </c>
      <c r="D49" s="1">
        <v>140</v>
      </c>
      <c r="E49">
        <f t="shared" si="0"/>
        <v>1</v>
      </c>
      <c r="F49" s="13">
        <f t="shared" si="1"/>
        <v>2</v>
      </c>
      <c r="G49" s="13">
        <f t="shared" si="2"/>
        <v>3</v>
      </c>
      <c r="H49" s="15" t="str">
        <f t="shared" si="3"/>
        <v/>
      </c>
      <c r="I49" s="14" t="str">
        <f t="shared" si="4"/>
        <v/>
      </c>
      <c r="J49" s="16" t="str">
        <f t="shared" si="5"/>
        <v/>
      </c>
      <c r="P49" t="str">
        <f t="shared" si="6"/>
        <v/>
      </c>
    </row>
    <row r="50" spans="1:16" x14ac:dyDescent="0.3">
      <c r="A50" s="1">
        <v>1048</v>
      </c>
      <c r="B50" s="2">
        <v>41136.725903664337</v>
      </c>
      <c r="C50" s="1">
        <v>2</v>
      </c>
      <c r="D50" s="1">
        <v>34</v>
      </c>
      <c r="E50">
        <f t="shared" si="0"/>
        <v>4</v>
      </c>
      <c r="F50" s="13">
        <f t="shared" si="1"/>
        <v>3</v>
      </c>
      <c r="G50" s="13">
        <f t="shared" si="2"/>
        <v>5</v>
      </c>
      <c r="H50" s="15" t="str">
        <f t="shared" si="3"/>
        <v/>
      </c>
      <c r="I50" s="14" t="str">
        <f t="shared" si="4"/>
        <v/>
      </c>
      <c r="J50" s="16" t="str">
        <f t="shared" si="5"/>
        <v/>
      </c>
      <c r="P50" t="str">
        <f t="shared" si="6"/>
        <v/>
      </c>
    </row>
    <row r="51" spans="1:16" x14ac:dyDescent="0.3">
      <c r="A51" s="1">
        <v>1049</v>
      </c>
      <c r="B51" s="2">
        <v>41274.364011407124</v>
      </c>
      <c r="C51" s="1">
        <v>6</v>
      </c>
      <c r="D51" s="1">
        <v>60</v>
      </c>
      <c r="E51">
        <f t="shared" si="0"/>
        <v>2</v>
      </c>
      <c r="F51" s="13">
        <f t="shared" si="1"/>
        <v>1</v>
      </c>
      <c r="G51" s="13">
        <f t="shared" si="2"/>
        <v>4</v>
      </c>
      <c r="H51" s="15" t="str">
        <f t="shared" si="3"/>
        <v/>
      </c>
      <c r="I51" s="14" t="str">
        <f t="shared" si="4"/>
        <v>Upsell</v>
      </c>
      <c r="J51" s="16" t="str">
        <f t="shared" si="5"/>
        <v/>
      </c>
      <c r="P51" t="str">
        <f t="shared" si="6"/>
        <v>Upsell</v>
      </c>
    </row>
    <row r="52" spans="1:16" x14ac:dyDescent="0.3">
      <c r="A52" s="1">
        <v>1050</v>
      </c>
      <c r="B52" s="2">
        <v>41390.72775133884</v>
      </c>
      <c r="C52" s="1">
        <v>5</v>
      </c>
      <c r="D52" s="1">
        <v>425</v>
      </c>
      <c r="E52">
        <f t="shared" si="0"/>
        <v>1</v>
      </c>
      <c r="F52" s="13">
        <f t="shared" si="1"/>
        <v>2</v>
      </c>
      <c r="G52" s="13">
        <f t="shared" si="2"/>
        <v>1</v>
      </c>
      <c r="H52" s="15" t="str">
        <f t="shared" si="3"/>
        <v/>
      </c>
      <c r="I52" s="14" t="str">
        <f t="shared" si="4"/>
        <v/>
      </c>
      <c r="J52" s="16" t="str">
        <f t="shared" si="5"/>
        <v/>
      </c>
      <c r="P52" t="str">
        <f t="shared" si="6"/>
        <v/>
      </c>
    </row>
    <row r="53" spans="1:16" x14ac:dyDescent="0.3">
      <c r="A53" s="1">
        <v>1051</v>
      </c>
      <c r="B53" s="2">
        <v>41245.879811682862</v>
      </c>
      <c r="C53" s="1">
        <v>7</v>
      </c>
      <c r="D53" s="1">
        <v>427</v>
      </c>
      <c r="E53">
        <f t="shared" si="0"/>
        <v>2</v>
      </c>
      <c r="F53" s="13">
        <f t="shared" si="1"/>
        <v>1</v>
      </c>
      <c r="G53" s="13">
        <f t="shared" si="2"/>
        <v>1</v>
      </c>
      <c r="H53" s="15" t="str">
        <f t="shared" si="3"/>
        <v/>
      </c>
      <c r="I53" s="14" t="str">
        <f t="shared" si="4"/>
        <v/>
      </c>
      <c r="J53" s="16" t="str">
        <f t="shared" si="5"/>
        <v/>
      </c>
      <c r="P53" t="str">
        <f t="shared" si="6"/>
        <v/>
      </c>
    </row>
    <row r="54" spans="1:16" x14ac:dyDescent="0.3">
      <c r="A54" s="1">
        <v>1052</v>
      </c>
      <c r="B54" s="2">
        <v>41218.601472417737</v>
      </c>
      <c r="C54" s="1">
        <v>6</v>
      </c>
      <c r="D54" s="1">
        <v>456</v>
      </c>
      <c r="E54">
        <f t="shared" si="0"/>
        <v>3</v>
      </c>
      <c r="F54" s="13">
        <f t="shared" si="1"/>
        <v>1</v>
      </c>
      <c r="G54" s="13">
        <f t="shared" si="2"/>
        <v>1</v>
      </c>
      <c r="H54" s="15" t="str">
        <f t="shared" si="3"/>
        <v/>
      </c>
      <c r="I54" s="14" t="str">
        <f t="shared" si="4"/>
        <v/>
      </c>
      <c r="J54" s="16" t="str">
        <f t="shared" si="5"/>
        <v/>
      </c>
      <c r="P54" t="str">
        <f t="shared" si="6"/>
        <v/>
      </c>
    </row>
    <row r="55" spans="1:16" x14ac:dyDescent="0.3">
      <c r="A55" s="1">
        <v>1053</v>
      </c>
      <c r="B55" s="2">
        <v>41381.979992112836</v>
      </c>
      <c r="C55" s="1">
        <v>7</v>
      </c>
      <c r="D55" s="1">
        <v>567</v>
      </c>
      <c r="E55">
        <f t="shared" si="0"/>
        <v>1</v>
      </c>
      <c r="F55" s="13">
        <f t="shared" si="1"/>
        <v>1</v>
      </c>
      <c r="G55" s="13">
        <f t="shared" si="2"/>
        <v>1</v>
      </c>
      <c r="H55" s="15" t="str">
        <f t="shared" si="3"/>
        <v/>
      </c>
      <c r="I55" s="14" t="str">
        <f t="shared" si="4"/>
        <v/>
      </c>
      <c r="J55" s="16" t="str">
        <f t="shared" si="5"/>
        <v/>
      </c>
      <c r="P55" t="str">
        <f t="shared" si="6"/>
        <v/>
      </c>
    </row>
    <row r="56" spans="1:16" x14ac:dyDescent="0.3">
      <c r="A56" s="1">
        <v>1054</v>
      </c>
      <c r="B56" s="2">
        <v>41162.632288274741</v>
      </c>
      <c r="C56" s="1">
        <v>1</v>
      </c>
      <c r="D56" s="1">
        <v>63</v>
      </c>
      <c r="E56">
        <f t="shared" si="0"/>
        <v>4</v>
      </c>
      <c r="F56" s="13">
        <f t="shared" si="1"/>
        <v>4</v>
      </c>
      <c r="G56" s="13">
        <f t="shared" si="2"/>
        <v>4</v>
      </c>
      <c r="H56" s="15" t="str">
        <f t="shared" si="3"/>
        <v>Ignore</v>
      </c>
      <c r="I56" s="14" t="str">
        <f t="shared" si="4"/>
        <v/>
      </c>
      <c r="J56" s="16" t="str">
        <f t="shared" si="5"/>
        <v/>
      </c>
      <c r="P56" t="str">
        <f t="shared" si="6"/>
        <v>Ignore</v>
      </c>
    </row>
    <row r="57" spans="1:16" x14ac:dyDescent="0.3">
      <c r="A57" s="1">
        <v>1055</v>
      </c>
      <c r="B57" s="2">
        <v>41358.028282733794</v>
      </c>
      <c r="C57" s="1">
        <v>4</v>
      </c>
      <c r="D57" s="1">
        <v>64</v>
      </c>
      <c r="E57">
        <f t="shared" si="0"/>
        <v>1</v>
      </c>
      <c r="F57" s="13">
        <f t="shared" si="1"/>
        <v>2</v>
      </c>
      <c r="G57" s="13">
        <f t="shared" si="2"/>
        <v>4</v>
      </c>
      <c r="H57" s="15" t="str">
        <f t="shared" si="3"/>
        <v/>
      </c>
      <c r="I57" s="14" t="str">
        <f t="shared" si="4"/>
        <v>Upsell</v>
      </c>
      <c r="J57" s="16" t="str">
        <f t="shared" si="5"/>
        <v/>
      </c>
      <c r="P57" t="str">
        <f t="shared" si="6"/>
        <v>Upsell</v>
      </c>
    </row>
    <row r="58" spans="1:16" x14ac:dyDescent="0.3">
      <c r="A58" s="1">
        <v>1056</v>
      </c>
      <c r="B58" s="2">
        <v>41266.022739136046</v>
      </c>
      <c r="C58" s="1">
        <v>4</v>
      </c>
      <c r="D58" s="1">
        <v>288</v>
      </c>
      <c r="E58">
        <f t="shared" si="0"/>
        <v>2</v>
      </c>
      <c r="F58" s="13">
        <f t="shared" si="1"/>
        <v>2</v>
      </c>
      <c r="G58" s="13">
        <f t="shared" si="2"/>
        <v>2</v>
      </c>
      <c r="H58" s="15" t="str">
        <f t="shared" si="3"/>
        <v/>
      </c>
      <c r="I58" s="14" t="str">
        <f t="shared" si="4"/>
        <v/>
      </c>
      <c r="J58" s="16" t="str">
        <f t="shared" si="5"/>
        <v/>
      </c>
      <c r="P58" t="str">
        <f t="shared" si="6"/>
        <v/>
      </c>
    </row>
    <row r="59" spans="1:16" x14ac:dyDescent="0.3">
      <c r="A59" s="1">
        <v>1057</v>
      </c>
      <c r="B59" s="2">
        <v>41356.251012876513</v>
      </c>
      <c r="C59" s="1">
        <v>6</v>
      </c>
      <c r="D59" s="1">
        <v>402</v>
      </c>
      <c r="E59">
        <f t="shared" si="0"/>
        <v>1</v>
      </c>
      <c r="F59" s="13">
        <f t="shared" si="1"/>
        <v>1</v>
      </c>
      <c r="G59" s="13">
        <f t="shared" si="2"/>
        <v>2</v>
      </c>
      <c r="H59" s="15" t="str">
        <f t="shared" si="3"/>
        <v/>
      </c>
      <c r="I59" s="14" t="str">
        <f t="shared" si="4"/>
        <v/>
      </c>
      <c r="J59" s="16" t="str">
        <f t="shared" si="5"/>
        <v/>
      </c>
      <c r="P59" t="str">
        <f t="shared" si="6"/>
        <v/>
      </c>
    </row>
    <row r="60" spans="1:16" x14ac:dyDescent="0.3">
      <c r="A60" s="1">
        <v>1058</v>
      </c>
      <c r="B60" s="2">
        <v>41168.794578393346</v>
      </c>
      <c r="C60" s="1">
        <v>6</v>
      </c>
      <c r="D60" s="1">
        <v>294</v>
      </c>
      <c r="E60">
        <f t="shared" si="0"/>
        <v>4</v>
      </c>
      <c r="F60" s="13">
        <f t="shared" si="1"/>
        <v>1</v>
      </c>
      <c r="G60" s="13">
        <f t="shared" si="2"/>
        <v>2</v>
      </c>
      <c r="H60" s="15" t="str">
        <f t="shared" si="3"/>
        <v/>
      </c>
      <c r="I60" s="14" t="str">
        <f t="shared" si="4"/>
        <v/>
      </c>
      <c r="J60" s="16" t="str">
        <f t="shared" si="5"/>
        <v>Contact</v>
      </c>
      <c r="P60" t="str">
        <f t="shared" si="6"/>
        <v>Contact</v>
      </c>
    </row>
    <row r="61" spans="1:16" x14ac:dyDescent="0.3">
      <c r="A61" s="1">
        <v>1059</v>
      </c>
      <c r="B61" s="2">
        <v>41248.906772027913</v>
      </c>
      <c r="C61" s="1">
        <v>4</v>
      </c>
      <c r="D61" s="1">
        <v>12</v>
      </c>
      <c r="E61">
        <f t="shared" si="0"/>
        <v>2</v>
      </c>
      <c r="F61" s="13">
        <f t="shared" si="1"/>
        <v>2</v>
      </c>
      <c r="G61" s="13">
        <f t="shared" si="2"/>
        <v>5</v>
      </c>
      <c r="H61" s="15" t="str">
        <f t="shared" si="3"/>
        <v/>
      </c>
      <c r="I61" s="14" t="str">
        <f t="shared" si="4"/>
        <v>Upsell</v>
      </c>
      <c r="J61" s="16" t="str">
        <f t="shared" si="5"/>
        <v/>
      </c>
      <c r="P61" t="str">
        <f t="shared" si="6"/>
        <v>Upsell</v>
      </c>
    </row>
    <row r="62" spans="1:16" x14ac:dyDescent="0.3">
      <c r="A62" s="1">
        <v>1060</v>
      </c>
      <c r="B62" s="2">
        <v>41378.526004157196</v>
      </c>
      <c r="C62" s="1">
        <v>7</v>
      </c>
      <c r="D62" s="1">
        <v>133</v>
      </c>
      <c r="E62">
        <f t="shared" si="0"/>
        <v>1</v>
      </c>
      <c r="F62" s="13">
        <f t="shared" si="1"/>
        <v>1</v>
      </c>
      <c r="G62" s="13">
        <f t="shared" si="2"/>
        <v>4</v>
      </c>
      <c r="H62" s="15" t="str">
        <f t="shared" si="3"/>
        <v/>
      </c>
      <c r="I62" s="14" t="str">
        <f t="shared" si="4"/>
        <v>Upsell</v>
      </c>
      <c r="J62" s="16" t="str">
        <f t="shared" si="5"/>
        <v/>
      </c>
      <c r="P62" t="str">
        <f t="shared" si="6"/>
        <v>Upsell</v>
      </c>
    </row>
    <row r="63" spans="1:16" x14ac:dyDescent="0.3">
      <c r="A63" s="1">
        <v>1061</v>
      </c>
      <c r="B63" s="2">
        <v>41297.094163820002</v>
      </c>
      <c r="C63" s="1">
        <v>6</v>
      </c>
      <c r="D63" s="1">
        <v>534</v>
      </c>
      <c r="E63">
        <f t="shared" si="0"/>
        <v>2</v>
      </c>
      <c r="F63" s="13">
        <f t="shared" si="1"/>
        <v>1</v>
      </c>
      <c r="G63" s="13">
        <f t="shared" si="2"/>
        <v>1</v>
      </c>
      <c r="H63" s="15" t="str">
        <f t="shared" si="3"/>
        <v/>
      </c>
      <c r="I63" s="14" t="str">
        <f t="shared" si="4"/>
        <v/>
      </c>
      <c r="J63" s="16" t="str">
        <f t="shared" si="5"/>
        <v/>
      </c>
      <c r="P63" t="str">
        <f t="shared" si="6"/>
        <v/>
      </c>
    </row>
    <row r="64" spans="1:16" x14ac:dyDescent="0.3">
      <c r="A64" s="1">
        <v>1062</v>
      </c>
      <c r="B64" s="2">
        <v>41295.309071949559</v>
      </c>
      <c r="C64" s="1">
        <v>5</v>
      </c>
      <c r="D64" s="1">
        <v>460</v>
      </c>
      <c r="E64">
        <f t="shared" si="0"/>
        <v>2</v>
      </c>
      <c r="F64" s="13">
        <f t="shared" si="1"/>
        <v>2</v>
      </c>
      <c r="G64" s="13">
        <f t="shared" si="2"/>
        <v>1</v>
      </c>
      <c r="H64" s="15" t="str">
        <f t="shared" si="3"/>
        <v/>
      </c>
      <c r="I64" s="14" t="str">
        <f t="shared" si="4"/>
        <v/>
      </c>
      <c r="J64" s="16" t="str">
        <f t="shared" si="5"/>
        <v/>
      </c>
      <c r="P64" t="str">
        <f t="shared" si="6"/>
        <v/>
      </c>
    </row>
    <row r="65" spans="1:16" x14ac:dyDescent="0.3">
      <c r="A65" s="1">
        <v>1063</v>
      </c>
      <c r="B65" s="2">
        <v>41135.3663837653</v>
      </c>
      <c r="C65" s="1">
        <v>5</v>
      </c>
      <c r="D65" s="1">
        <v>240</v>
      </c>
      <c r="E65">
        <f t="shared" si="0"/>
        <v>4</v>
      </c>
      <c r="F65" s="13">
        <f t="shared" si="1"/>
        <v>2</v>
      </c>
      <c r="G65" s="13">
        <f t="shared" si="2"/>
        <v>2</v>
      </c>
      <c r="H65" s="15" t="str">
        <f t="shared" si="3"/>
        <v/>
      </c>
      <c r="I65" s="14" t="str">
        <f t="shared" si="4"/>
        <v/>
      </c>
      <c r="J65" s="16" t="str">
        <f t="shared" si="5"/>
        <v>Contact</v>
      </c>
      <c r="P65" t="str">
        <f t="shared" si="6"/>
        <v>Contact</v>
      </c>
    </row>
    <row r="66" spans="1:16" x14ac:dyDescent="0.3">
      <c r="A66" s="1">
        <v>1064</v>
      </c>
      <c r="B66" s="2">
        <v>41375.731218206369</v>
      </c>
      <c r="C66" s="1">
        <v>0</v>
      </c>
      <c r="D66" s="1">
        <v>0</v>
      </c>
      <c r="E66">
        <f t="shared" si="0"/>
        <v>1</v>
      </c>
      <c r="F66" s="13">
        <f t="shared" si="1"/>
        <v>4</v>
      </c>
      <c r="G66" s="13">
        <f t="shared" si="2"/>
        <v>5</v>
      </c>
      <c r="H66" s="15" t="str">
        <f t="shared" si="3"/>
        <v/>
      </c>
      <c r="I66" s="14" t="str">
        <f t="shared" si="4"/>
        <v/>
      </c>
      <c r="J66" s="16" t="str">
        <f t="shared" si="5"/>
        <v/>
      </c>
      <c r="P66" t="str">
        <f t="shared" si="6"/>
        <v/>
      </c>
    </row>
    <row r="67" spans="1:16" x14ac:dyDescent="0.3">
      <c r="A67" s="1">
        <v>1065</v>
      </c>
      <c r="B67" s="2">
        <v>41130.362020918015</v>
      </c>
      <c r="C67" s="1">
        <v>5</v>
      </c>
      <c r="D67" s="1">
        <v>150</v>
      </c>
      <c r="E67">
        <f t="shared" ref="E67:E130" si="10">VLOOKUP(B67,$M$2:$N$6,2,TRUE)</f>
        <v>4</v>
      </c>
      <c r="F67" s="13">
        <f t="shared" ref="F67:F130" si="11">VLOOKUP(C67,$M$9:$N$13,2,TRUE)</f>
        <v>2</v>
      </c>
      <c r="G67" s="13">
        <f t="shared" ref="G67:G130" si="12">VLOOKUP(D67,$M$16:$N$20,2,TRUE)</f>
        <v>3</v>
      </c>
      <c r="H67" s="15" t="str">
        <f t="shared" ref="H67:H130" si="13">IF(AND(E67&gt;3,F67&gt;3,G67&gt;3),"Ignore","")</f>
        <v/>
      </c>
      <c r="I67" s="14" t="str">
        <f t="shared" ref="I67:I130" si="14">IF(AND(E67&lt;3,F67&lt;3,G67&gt;3),"Upsell","")</f>
        <v/>
      </c>
      <c r="J67" s="16" t="str">
        <f t="shared" ref="J67:J130" si="15">IF(AND(E67&gt;3,F67&lt;3,G67&lt;3),"Contact","")</f>
        <v/>
      </c>
      <c r="P67" t="str">
        <f t="shared" ref="P67:P130" si="16">IF(H67&lt;&gt;"","Ignore", IF(I67&lt;&gt;"","Upsell", IF(J67&lt;&gt;"","Contact","")))</f>
        <v/>
      </c>
    </row>
    <row r="68" spans="1:16" x14ac:dyDescent="0.3">
      <c r="A68" s="1">
        <v>1066</v>
      </c>
      <c r="B68" s="2">
        <v>41172.383579224384</v>
      </c>
      <c r="C68" s="1">
        <v>3</v>
      </c>
      <c r="D68" s="1">
        <v>39</v>
      </c>
      <c r="E68">
        <f t="shared" si="10"/>
        <v>4</v>
      </c>
      <c r="F68" s="13">
        <f t="shared" si="11"/>
        <v>3</v>
      </c>
      <c r="G68" s="13">
        <f t="shared" si="12"/>
        <v>5</v>
      </c>
      <c r="H68" s="15" t="str">
        <f t="shared" si="13"/>
        <v/>
      </c>
      <c r="I68" s="14" t="str">
        <f t="shared" si="14"/>
        <v/>
      </c>
      <c r="J68" s="16" t="str">
        <f t="shared" si="15"/>
        <v/>
      </c>
      <c r="P68" t="str">
        <f t="shared" si="16"/>
        <v/>
      </c>
    </row>
    <row r="69" spans="1:16" x14ac:dyDescent="0.3">
      <c r="A69" s="1">
        <v>1067</v>
      </c>
      <c r="B69" s="2">
        <v>41350.374098738146</v>
      </c>
      <c r="C69" s="1">
        <v>9</v>
      </c>
      <c r="D69" s="1">
        <v>450</v>
      </c>
      <c r="E69">
        <f t="shared" si="10"/>
        <v>1</v>
      </c>
      <c r="F69" s="13">
        <f t="shared" si="11"/>
        <v>1</v>
      </c>
      <c r="G69" s="13">
        <f t="shared" si="12"/>
        <v>1</v>
      </c>
      <c r="H69" s="15" t="str">
        <f t="shared" si="13"/>
        <v/>
      </c>
      <c r="I69" s="14" t="str">
        <f t="shared" si="14"/>
        <v/>
      </c>
      <c r="J69" s="16" t="str">
        <f t="shared" si="15"/>
        <v/>
      </c>
      <c r="P69" t="str">
        <f t="shared" si="16"/>
        <v/>
      </c>
    </row>
    <row r="70" spans="1:16" x14ac:dyDescent="0.3">
      <c r="A70" s="1">
        <v>1068</v>
      </c>
      <c r="B70" s="2">
        <v>41146.934908339281</v>
      </c>
      <c r="C70" s="1">
        <v>7</v>
      </c>
      <c r="D70" s="1">
        <v>70</v>
      </c>
      <c r="E70">
        <f t="shared" si="10"/>
        <v>4</v>
      </c>
      <c r="F70" s="13">
        <f t="shared" si="11"/>
        <v>1</v>
      </c>
      <c r="G70" s="13">
        <f t="shared" si="12"/>
        <v>4</v>
      </c>
      <c r="H70" s="15" t="str">
        <f t="shared" si="13"/>
        <v/>
      </c>
      <c r="I70" s="14" t="str">
        <f t="shared" si="14"/>
        <v/>
      </c>
      <c r="J70" s="16" t="str">
        <f t="shared" si="15"/>
        <v/>
      </c>
      <c r="P70" t="str">
        <f t="shared" si="16"/>
        <v/>
      </c>
    </row>
    <row r="71" spans="1:16" x14ac:dyDescent="0.3">
      <c r="A71" s="1">
        <v>1069</v>
      </c>
      <c r="B71" s="2">
        <v>41334.245868879232</v>
      </c>
      <c r="C71" s="1">
        <v>7</v>
      </c>
      <c r="D71" s="1">
        <v>371</v>
      </c>
      <c r="E71">
        <f t="shared" si="10"/>
        <v>1</v>
      </c>
      <c r="F71" s="13">
        <f t="shared" si="11"/>
        <v>1</v>
      </c>
      <c r="G71" s="13">
        <f t="shared" si="12"/>
        <v>2</v>
      </c>
      <c r="H71" s="15" t="str">
        <f t="shared" si="13"/>
        <v/>
      </c>
      <c r="I71" s="14" t="str">
        <f t="shared" si="14"/>
        <v/>
      </c>
      <c r="J71" s="16" t="str">
        <f t="shared" si="15"/>
        <v/>
      </c>
      <c r="P71" t="str">
        <f t="shared" si="16"/>
        <v/>
      </c>
    </row>
    <row r="72" spans="1:16" x14ac:dyDescent="0.3">
      <c r="A72" s="1">
        <v>1070</v>
      </c>
      <c r="B72" s="2">
        <v>41409.171560954783</v>
      </c>
      <c r="C72" s="1">
        <v>5</v>
      </c>
      <c r="D72" s="1">
        <v>325</v>
      </c>
      <c r="E72">
        <f t="shared" si="10"/>
        <v>1</v>
      </c>
      <c r="F72" s="13">
        <f t="shared" si="11"/>
        <v>2</v>
      </c>
      <c r="G72" s="13">
        <f t="shared" si="12"/>
        <v>2</v>
      </c>
      <c r="H72" s="15" t="str">
        <f t="shared" si="13"/>
        <v/>
      </c>
      <c r="I72" s="14" t="str">
        <f t="shared" si="14"/>
        <v/>
      </c>
      <c r="J72" s="16" t="str">
        <f t="shared" si="15"/>
        <v/>
      </c>
      <c r="P72" t="str">
        <f t="shared" si="16"/>
        <v/>
      </c>
    </row>
    <row r="73" spans="1:16" x14ac:dyDescent="0.3">
      <c r="A73" s="1">
        <v>1071</v>
      </c>
      <c r="B73" s="2">
        <v>41133.954863334911</v>
      </c>
      <c r="C73" s="1">
        <v>1</v>
      </c>
      <c r="D73" s="1">
        <v>81</v>
      </c>
      <c r="E73">
        <f t="shared" si="10"/>
        <v>4</v>
      </c>
      <c r="F73" s="13">
        <f t="shared" si="11"/>
        <v>4</v>
      </c>
      <c r="G73" s="13">
        <f t="shared" si="12"/>
        <v>4</v>
      </c>
      <c r="H73" s="15" t="str">
        <f t="shared" si="13"/>
        <v>Ignore</v>
      </c>
      <c r="I73" s="14" t="str">
        <f t="shared" si="14"/>
        <v/>
      </c>
      <c r="J73" s="16" t="str">
        <f t="shared" si="15"/>
        <v/>
      </c>
      <c r="P73" t="str">
        <f t="shared" si="16"/>
        <v>Ignore</v>
      </c>
    </row>
    <row r="74" spans="1:16" x14ac:dyDescent="0.3">
      <c r="A74" s="1">
        <v>1072</v>
      </c>
      <c r="B74" s="2">
        <v>41126.978394401653</v>
      </c>
      <c r="C74" s="1">
        <v>6</v>
      </c>
      <c r="D74" s="1">
        <v>120</v>
      </c>
      <c r="E74">
        <f t="shared" si="10"/>
        <v>4</v>
      </c>
      <c r="F74" s="13">
        <f t="shared" si="11"/>
        <v>1</v>
      </c>
      <c r="G74" s="13">
        <f t="shared" si="12"/>
        <v>4</v>
      </c>
      <c r="H74" s="15" t="str">
        <f t="shared" si="13"/>
        <v/>
      </c>
      <c r="I74" s="14" t="str">
        <f t="shared" si="14"/>
        <v/>
      </c>
      <c r="J74" s="16" t="str">
        <f t="shared" si="15"/>
        <v/>
      </c>
      <c r="P74" t="str">
        <f t="shared" si="16"/>
        <v/>
      </c>
    </row>
    <row r="75" spans="1:16" x14ac:dyDescent="0.3">
      <c r="A75" s="1">
        <v>1073</v>
      </c>
      <c r="B75" s="2">
        <v>41179.526569436268</v>
      </c>
      <c r="C75" s="1">
        <v>7</v>
      </c>
      <c r="D75" s="1">
        <v>350</v>
      </c>
      <c r="E75">
        <f t="shared" si="10"/>
        <v>4</v>
      </c>
      <c r="F75" s="13">
        <f t="shared" si="11"/>
        <v>1</v>
      </c>
      <c r="G75" s="13">
        <f t="shared" si="12"/>
        <v>2</v>
      </c>
      <c r="H75" s="15" t="str">
        <f t="shared" si="13"/>
        <v/>
      </c>
      <c r="I75" s="14" t="str">
        <f t="shared" si="14"/>
        <v/>
      </c>
      <c r="J75" s="16" t="str">
        <f t="shared" si="15"/>
        <v>Contact</v>
      </c>
      <c r="P75" t="str">
        <f t="shared" si="16"/>
        <v>Contact</v>
      </c>
    </row>
    <row r="76" spans="1:16" x14ac:dyDescent="0.3">
      <c r="A76" s="1">
        <v>1074</v>
      </c>
      <c r="B76" s="2">
        <v>41151.012833253553</v>
      </c>
      <c r="C76" s="1">
        <v>2</v>
      </c>
      <c r="D76" s="1">
        <v>2</v>
      </c>
      <c r="E76">
        <f t="shared" si="10"/>
        <v>4</v>
      </c>
      <c r="F76" s="13">
        <f t="shared" si="11"/>
        <v>3</v>
      </c>
      <c r="G76" s="13">
        <f t="shared" si="12"/>
        <v>5</v>
      </c>
      <c r="H76" s="15" t="str">
        <f t="shared" si="13"/>
        <v/>
      </c>
      <c r="I76" s="14" t="str">
        <f t="shared" si="14"/>
        <v/>
      </c>
      <c r="J76" s="16" t="str">
        <f t="shared" si="15"/>
        <v/>
      </c>
      <c r="P76" t="str">
        <f t="shared" si="16"/>
        <v/>
      </c>
    </row>
    <row r="77" spans="1:16" x14ac:dyDescent="0.3">
      <c r="A77" s="1">
        <v>1075</v>
      </c>
      <c r="B77" s="2">
        <v>41292.131798203343</v>
      </c>
      <c r="C77" s="1">
        <v>8</v>
      </c>
      <c r="D77" s="1">
        <v>80</v>
      </c>
      <c r="E77">
        <f t="shared" si="10"/>
        <v>2</v>
      </c>
      <c r="F77" s="13">
        <f t="shared" si="11"/>
        <v>1</v>
      </c>
      <c r="G77" s="13">
        <f t="shared" si="12"/>
        <v>4</v>
      </c>
      <c r="H77" s="15" t="str">
        <f t="shared" si="13"/>
        <v/>
      </c>
      <c r="I77" s="14" t="str">
        <f t="shared" si="14"/>
        <v>Upsell</v>
      </c>
      <c r="J77" s="16" t="str">
        <f t="shared" si="15"/>
        <v/>
      </c>
      <c r="P77" t="str">
        <f t="shared" si="16"/>
        <v>Upsell</v>
      </c>
    </row>
    <row r="78" spans="1:16" x14ac:dyDescent="0.3">
      <c r="A78" s="1">
        <v>1076</v>
      </c>
      <c r="B78" s="2">
        <v>41257.538773969442</v>
      </c>
      <c r="C78" s="1">
        <v>6</v>
      </c>
      <c r="D78" s="1">
        <v>168</v>
      </c>
      <c r="E78">
        <f t="shared" si="10"/>
        <v>2</v>
      </c>
      <c r="F78" s="13">
        <f t="shared" si="11"/>
        <v>1</v>
      </c>
      <c r="G78" s="13">
        <f t="shared" si="12"/>
        <v>3</v>
      </c>
      <c r="H78" s="15" t="str">
        <f t="shared" si="13"/>
        <v/>
      </c>
      <c r="I78" s="14" t="str">
        <f t="shared" si="14"/>
        <v/>
      </c>
      <c r="J78" s="16" t="str">
        <f t="shared" si="15"/>
        <v/>
      </c>
      <c r="P78" t="str">
        <f t="shared" si="16"/>
        <v/>
      </c>
    </row>
    <row r="79" spans="1:16" x14ac:dyDescent="0.3">
      <c r="A79" s="1">
        <v>1077</v>
      </c>
      <c r="B79" s="2">
        <v>41362.269684627885</v>
      </c>
      <c r="C79" s="1">
        <v>1</v>
      </c>
      <c r="D79" s="1">
        <v>7</v>
      </c>
      <c r="E79">
        <f t="shared" si="10"/>
        <v>1</v>
      </c>
      <c r="F79" s="13">
        <f t="shared" si="11"/>
        <v>4</v>
      </c>
      <c r="G79" s="13">
        <f t="shared" si="12"/>
        <v>5</v>
      </c>
      <c r="H79" s="15" t="str">
        <f t="shared" si="13"/>
        <v/>
      </c>
      <c r="I79" s="14" t="str">
        <f t="shared" si="14"/>
        <v/>
      </c>
      <c r="J79" s="16" t="str">
        <f t="shared" si="15"/>
        <v/>
      </c>
      <c r="P79" t="str">
        <f t="shared" si="16"/>
        <v/>
      </c>
    </row>
    <row r="80" spans="1:16" x14ac:dyDescent="0.3">
      <c r="A80" s="1">
        <v>1078</v>
      </c>
      <c r="B80" s="2">
        <v>41198.236308543717</v>
      </c>
      <c r="C80" s="1">
        <v>4</v>
      </c>
      <c r="D80" s="1">
        <v>312</v>
      </c>
      <c r="E80">
        <f t="shared" si="10"/>
        <v>3</v>
      </c>
      <c r="F80" s="13">
        <f t="shared" si="11"/>
        <v>2</v>
      </c>
      <c r="G80" s="13">
        <f t="shared" si="12"/>
        <v>2</v>
      </c>
      <c r="H80" s="15" t="str">
        <f t="shared" si="13"/>
        <v/>
      </c>
      <c r="I80" s="14" t="str">
        <f t="shared" si="14"/>
        <v/>
      </c>
      <c r="J80" s="16" t="str">
        <f t="shared" si="15"/>
        <v/>
      </c>
      <c r="P80" t="str">
        <f t="shared" si="16"/>
        <v/>
      </c>
    </row>
    <row r="81" spans="1:16" x14ac:dyDescent="0.3">
      <c r="A81" s="1">
        <v>1079</v>
      </c>
      <c r="B81" s="2">
        <v>41249.377761049895</v>
      </c>
      <c r="C81" s="1">
        <v>4</v>
      </c>
      <c r="D81" s="1">
        <v>16</v>
      </c>
      <c r="E81">
        <f t="shared" si="10"/>
        <v>2</v>
      </c>
      <c r="F81" s="13">
        <f t="shared" si="11"/>
        <v>2</v>
      </c>
      <c r="G81" s="13">
        <f t="shared" si="12"/>
        <v>5</v>
      </c>
      <c r="H81" s="15" t="str">
        <f t="shared" si="13"/>
        <v/>
      </c>
      <c r="I81" s="14" t="str">
        <f t="shared" si="14"/>
        <v>Upsell</v>
      </c>
      <c r="J81" s="16" t="str">
        <f t="shared" si="15"/>
        <v/>
      </c>
      <c r="P81" t="str">
        <f t="shared" si="16"/>
        <v>Upsell</v>
      </c>
    </row>
    <row r="82" spans="1:16" x14ac:dyDescent="0.3">
      <c r="A82" s="1">
        <v>1080</v>
      </c>
      <c r="B82" s="2">
        <v>41413.836107324882</v>
      </c>
      <c r="C82" s="1">
        <v>6</v>
      </c>
      <c r="D82" s="1">
        <v>390</v>
      </c>
      <c r="E82">
        <f t="shared" si="10"/>
        <v>1</v>
      </c>
      <c r="F82" s="13">
        <f t="shared" si="11"/>
        <v>1</v>
      </c>
      <c r="G82" s="13">
        <f t="shared" si="12"/>
        <v>2</v>
      </c>
      <c r="H82" s="15" t="str">
        <f t="shared" si="13"/>
        <v/>
      </c>
      <c r="I82" s="14" t="str">
        <f t="shared" si="14"/>
        <v/>
      </c>
      <c r="J82" s="16" t="str">
        <f t="shared" si="15"/>
        <v/>
      </c>
      <c r="P82" t="str">
        <f t="shared" si="16"/>
        <v/>
      </c>
    </row>
    <row r="83" spans="1:16" x14ac:dyDescent="0.3">
      <c r="A83" s="1">
        <v>1081</v>
      </c>
      <c r="B83" s="2">
        <v>41231.53538218444</v>
      </c>
      <c r="C83" s="1">
        <v>9</v>
      </c>
      <c r="D83" s="1">
        <v>90</v>
      </c>
      <c r="E83">
        <f t="shared" si="10"/>
        <v>3</v>
      </c>
      <c r="F83" s="13">
        <f t="shared" si="11"/>
        <v>1</v>
      </c>
      <c r="G83" s="13">
        <f t="shared" si="12"/>
        <v>4</v>
      </c>
      <c r="H83" s="15" t="str">
        <f t="shared" si="13"/>
        <v/>
      </c>
      <c r="I83" s="14" t="str">
        <f t="shared" si="14"/>
        <v/>
      </c>
      <c r="J83" s="16" t="str">
        <f t="shared" si="15"/>
        <v/>
      </c>
      <c r="P83" t="str">
        <f t="shared" si="16"/>
        <v/>
      </c>
    </row>
    <row r="84" spans="1:16" x14ac:dyDescent="0.3">
      <c r="A84" s="1">
        <v>1082</v>
      </c>
      <c r="B84" s="2">
        <v>41140.699528149948</v>
      </c>
      <c r="C84" s="1">
        <v>3</v>
      </c>
      <c r="D84" s="1">
        <v>141</v>
      </c>
      <c r="E84">
        <f t="shared" si="10"/>
        <v>4</v>
      </c>
      <c r="F84" s="13">
        <f t="shared" si="11"/>
        <v>3</v>
      </c>
      <c r="G84" s="13">
        <f t="shared" si="12"/>
        <v>3</v>
      </c>
      <c r="H84" s="15" t="str">
        <f t="shared" si="13"/>
        <v/>
      </c>
      <c r="I84" s="14" t="str">
        <f t="shared" si="14"/>
        <v/>
      </c>
      <c r="J84" s="16" t="str">
        <f t="shared" si="15"/>
        <v/>
      </c>
      <c r="P84" t="str">
        <f t="shared" si="16"/>
        <v/>
      </c>
    </row>
    <row r="85" spans="1:16" x14ac:dyDescent="0.3">
      <c r="A85" s="1">
        <v>1083</v>
      </c>
      <c r="B85" s="2">
        <v>41266.898131652139</v>
      </c>
      <c r="C85" s="1">
        <v>8</v>
      </c>
      <c r="D85" s="1">
        <v>184</v>
      </c>
      <c r="E85">
        <f t="shared" si="10"/>
        <v>2</v>
      </c>
      <c r="F85" s="13">
        <f t="shared" si="11"/>
        <v>1</v>
      </c>
      <c r="G85" s="13">
        <f t="shared" si="12"/>
        <v>3</v>
      </c>
      <c r="H85" s="15" t="str">
        <f t="shared" si="13"/>
        <v/>
      </c>
      <c r="I85" s="14" t="str">
        <f t="shared" si="14"/>
        <v/>
      </c>
      <c r="J85" s="16" t="str">
        <f t="shared" si="15"/>
        <v/>
      </c>
      <c r="P85" t="str">
        <f t="shared" si="16"/>
        <v/>
      </c>
    </row>
    <row r="86" spans="1:16" x14ac:dyDescent="0.3">
      <c r="A86" s="1">
        <v>1084</v>
      </c>
      <c r="B86" s="2">
        <v>41311.689541178966</v>
      </c>
      <c r="C86" s="1">
        <v>6</v>
      </c>
      <c r="D86" s="1">
        <v>120</v>
      </c>
      <c r="E86">
        <f t="shared" si="10"/>
        <v>1</v>
      </c>
      <c r="F86" s="13">
        <f t="shared" si="11"/>
        <v>1</v>
      </c>
      <c r="G86" s="13">
        <f t="shared" si="12"/>
        <v>4</v>
      </c>
      <c r="H86" s="15" t="str">
        <f t="shared" si="13"/>
        <v/>
      </c>
      <c r="I86" s="14" t="str">
        <f t="shared" si="14"/>
        <v>Upsell</v>
      </c>
      <c r="J86" s="16" t="str">
        <f t="shared" si="15"/>
        <v/>
      </c>
      <c r="P86" t="str">
        <f t="shared" si="16"/>
        <v>Upsell</v>
      </c>
    </row>
    <row r="87" spans="1:16" x14ac:dyDescent="0.3">
      <c r="A87" s="1">
        <v>1085</v>
      </c>
      <c r="B87" s="2">
        <v>41345.494616729797</v>
      </c>
      <c r="C87" s="1">
        <v>1</v>
      </c>
      <c r="D87" s="1">
        <v>77</v>
      </c>
      <c r="E87">
        <f t="shared" si="10"/>
        <v>1</v>
      </c>
      <c r="F87" s="13">
        <f t="shared" si="11"/>
        <v>4</v>
      </c>
      <c r="G87" s="13">
        <f t="shared" si="12"/>
        <v>4</v>
      </c>
      <c r="H87" s="15" t="str">
        <f t="shared" si="13"/>
        <v/>
      </c>
      <c r="I87" s="14" t="str">
        <f t="shared" si="14"/>
        <v/>
      </c>
      <c r="J87" s="16" t="str">
        <f t="shared" si="15"/>
        <v/>
      </c>
      <c r="P87" t="str">
        <f t="shared" si="16"/>
        <v/>
      </c>
    </row>
    <row r="88" spans="1:16" x14ac:dyDescent="0.3">
      <c r="A88" s="1">
        <v>1086</v>
      </c>
      <c r="B88" s="2">
        <v>41328.82373356988</v>
      </c>
      <c r="C88" s="1">
        <v>5</v>
      </c>
      <c r="D88" s="1">
        <v>255</v>
      </c>
      <c r="E88">
        <f t="shared" si="10"/>
        <v>1</v>
      </c>
      <c r="F88" s="13">
        <f t="shared" si="11"/>
        <v>2</v>
      </c>
      <c r="G88" s="13">
        <f t="shared" si="12"/>
        <v>2</v>
      </c>
      <c r="H88" s="15" t="str">
        <f t="shared" si="13"/>
        <v/>
      </c>
      <c r="I88" s="14" t="str">
        <f t="shared" si="14"/>
        <v/>
      </c>
      <c r="J88" s="16" t="str">
        <f t="shared" si="15"/>
        <v/>
      </c>
      <c r="P88" t="str">
        <f t="shared" si="16"/>
        <v/>
      </c>
    </row>
    <row r="89" spans="1:16" x14ac:dyDescent="0.3">
      <c r="A89" s="1">
        <v>1087</v>
      </c>
      <c r="B89" s="2">
        <v>41127.000992479705</v>
      </c>
      <c r="C89" s="1">
        <v>4</v>
      </c>
      <c r="D89" s="1">
        <v>340</v>
      </c>
      <c r="E89">
        <f t="shared" si="10"/>
        <v>4</v>
      </c>
      <c r="F89" s="13">
        <f t="shared" si="11"/>
        <v>2</v>
      </c>
      <c r="G89" s="13">
        <f t="shared" si="12"/>
        <v>2</v>
      </c>
      <c r="H89" s="15" t="str">
        <f t="shared" si="13"/>
        <v/>
      </c>
      <c r="I89" s="14" t="str">
        <f t="shared" si="14"/>
        <v/>
      </c>
      <c r="J89" s="16" t="str">
        <f t="shared" si="15"/>
        <v>Contact</v>
      </c>
      <c r="P89" t="str">
        <f t="shared" si="16"/>
        <v>Contact</v>
      </c>
    </row>
    <row r="90" spans="1:16" x14ac:dyDescent="0.3">
      <c r="A90" s="1">
        <v>1088</v>
      </c>
      <c r="B90" s="2">
        <v>41149.956136593435</v>
      </c>
      <c r="C90" s="1">
        <v>6</v>
      </c>
      <c r="D90" s="1">
        <v>30</v>
      </c>
      <c r="E90">
        <f t="shared" si="10"/>
        <v>4</v>
      </c>
      <c r="F90" s="13">
        <f t="shared" si="11"/>
        <v>1</v>
      </c>
      <c r="G90" s="13">
        <f t="shared" si="12"/>
        <v>5</v>
      </c>
      <c r="H90" s="15" t="str">
        <f t="shared" si="13"/>
        <v/>
      </c>
      <c r="I90" s="14" t="str">
        <f t="shared" si="14"/>
        <v/>
      </c>
      <c r="J90" s="16" t="str">
        <f t="shared" si="15"/>
        <v/>
      </c>
      <c r="P90" t="str">
        <f t="shared" si="16"/>
        <v/>
      </c>
    </row>
    <row r="91" spans="1:16" x14ac:dyDescent="0.3">
      <c r="A91" s="1">
        <v>1089</v>
      </c>
      <c r="B91" s="2">
        <v>41402.543728837562</v>
      </c>
      <c r="C91" s="1">
        <v>6</v>
      </c>
      <c r="D91" s="1">
        <v>444</v>
      </c>
      <c r="E91">
        <f t="shared" si="10"/>
        <v>1</v>
      </c>
      <c r="F91" s="13">
        <f t="shared" si="11"/>
        <v>1</v>
      </c>
      <c r="G91" s="13">
        <f t="shared" si="12"/>
        <v>1</v>
      </c>
      <c r="H91" s="15" t="str">
        <f t="shared" si="13"/>
        <v/>
      </c>
      <c r="I91" s="14" t="str">
        <f t="shared" si="14"/>
        <v/>
      </c>
      <c r="J91" s="16" t="str">
        <f t="shared" si="15"/>
        <v/>
      </c>
      <c r="P91" t="str">
        <f t="shared" si="16"/>
        <v/>
      </c>
    </row>
    <row r="92" spans="1:16" x14ac:dyDescent="0.3">
      <c r="A92" s="1">
        <v>1090</v>
      </c>
      <c r="B92" s="2">
        <v>41244.98639305582</v>
      </c>
      <c r="C92" s="1">
        <v>9</v>
      </c>
      <c r="D92" s="1">
        <v>54</v>
      </c>
      <c r="E92">
        <f t="shared" si="10"/>
        <v>2</v>
      </c>
      <c r="F92" s="13">
        <f t="shared" si="11"/>
        <v>1</v>
      </c>
      <c r="G92" s="13">
        <f t="shared" si="12"/>
        <v>4</v>
      </c>
      <c r="H92" s="15" t="str">
        <f t="shared" si="13"/>
        <v/>
      </c>
      <c r="I92" s="14" t="str">
        <f t="shared" si="14"/>
        <v>Upsell</v>
      </c>
      <c r="J92" s="16" t="str">
        <f t="shared" si="15"/>
        <v/>
      </c>
      <c r="P92" t="str">
        <f t="shared" si="16"/>
        <v>Upsell</v>
      </c>
    </row>
    <row r="93" spans="1:16" x14ac:dyDescent="0.3">
      <c r="A93" s="1">
        <v>1091</v>
      </c>
      <c r="B93" s="2">
        <v>41394.639232594745</v>
      </c>
      <c r="C93" s="1">
        <v>9</v>
      </c>
      <c r="D93" s="1">
        <v>108</v>
      </c>
      <c r="E93">
        <f t="shared" si="10"/>
        <v>1</v>
      </c>
      <c r="F93" s="13">
        <f t="shared" si="11"/>
        <v>1</v>
      </c>
      <c r="G93" s="13">
        <f t="shared" si="12"/>
        <v>4</v>
      </c>
      <c r="H93" s="15" t="str">
        <f t="shared" si="13"/>
        <v/>
      </c>
      <c r="I93" s="14" t="str">
        <f t="shared" si="14"/>
        <v>Upsell</v>
      </c>
      <c r="J93" s="16" t="str">
        <f t="shared" si="15"/>
        <v/>
      </c>
      <c r="P93" t="str">
        <f t="shared" si="16"/>
        <v>Upsell</v>
      </c>
    </row>
    <row r="94" spans="1:16" x14ac:dyDescent="0.3">
      <c r="A94" s="1">
        <v>1092</v>
      </c>
      <c r="B94" s="2">
        <v>41283.120543985038</v>
      </c>
      <c r="C94" s="1">
        <v>3</v>
      </c>
      <c r="D94" s="1">
        <v>204</v>
      </c>
      <c r="E94">
        <f t="shared" si="10"/>
        <v>2</v>
      </c>
      <c r="F94" s="13">
        <f t="shared" si="11"/>
        <v>3</v>
      </c>
      <c r="G94" s="13">
        <f t="shared" si="12"/>
        <v>3</v>
      </c>
      <c r="H94" s="15" t="str">
        <f t="shared" si="13"/>
        <v/>
      </c>
      <c r="I94" s="14" t="str">
        <f t="shared" si="14"/>
        <v/>
      </c>
      <c r="J94" s="16" t="str">
        <f t="shared" si="15"/>
        <v/>
      </c>
      <c r="P94" t="str">
        <f t="shared" si="16"/>
        <v/>
      </c>
    </row>
    <row r="95" spans="1:16" x14ac:dyDescent="0.3">
      <c r="A95" s="1">
        <v>1093</v>
      </c>
      <c r="B95" s="2">
        <v>41250.140622014507</v>
      </c>
      <c r="C95" s="1">
        <v>2</v>
      </c>
      <c r="D95" s="1">
        <v>122</v>
      </c>
      <c r="E95">
        <f t="shared" si="10"/>
        <v>2</v>
      </c>
      <c r="F95" s="13">
        <f t="shared" si="11"/>
        <v>3</v>
      </c>
      <c r="G95" s="13">
        <f t="shared" si="12"/>
        <v>4</v>
      </c>
      <c r="H95" s="15" t="str">
        <f t="shared" si="13"/>
        <v/>
      </c>
      <c r="I95" s="14" t="str">
        <f t="shared" si="14"/>
        <v/>
      </c>
      <c r="J95" s="16" t="str">
        <f t="shared" si="15"/>
        <v/>
      </c>
      <c r="P95" t="str">
        <f t="shared" si="16"/>
        <v/>
      </c>
    </row>
    <row r="96" spans="1:16" x14ac:dyDescent="0.3">
      <c r="A96" s="1">
        <v>1094</v>
      </c>
      <c r="B96" s="2">
        <v>41274.415019516608</v>
      </c>
      <c r="C96" s="1">
        <v>4</v>
      </c>
      <c r="D96" s="1">
        <v>164</v>
      </c>
      <c r="E96">
        <f t="shared" si="10"/>
        <v>2</v>
      </c>
      <c r="F96" s="13">
        <f t="shared" si="11"/>
        <v>2</v>
      </c>
      <c r="G96" s="13">
        <f t="shared" si="12"/>
        <v>3</v>
      </c>
      <c r="H96" s="15" t="str">
        <f t="shared" si="13"/>
        <v/>
      </c>
      <c r="I96" s="14" t="str">
        <f t="shared" si="14"/>
        <v/>
      </c>
      <c r="J96" s="16" t="str">
        <f t="shared" si="15"/>
        <v/>
      </c>
      <c r="P96" t="str">
        <f t="shared" si="16"/>
        <v/>
      </c>
    </row>
    <row r="97" spans="1:16" x14ac:dyDescent="0.3">
      <c r="A97" s="1">
        <v>1095</v>
      </c>
      <c r="B97" s="2">
        <v>41371.280082367033</v>
      </c>
      <c r="C97" s="1">
        <v>2</v>
      </c>
      <c r="D97" s="1">
        <v>8</v>
      </c>
      <c r="E97">
        <f t="shared" si="10"/>
        <v>1</v>
      </c>
      <c r="F97" s="13">
        <f t="shared" si="11"/>
        <v>3</v>
      </c>
      <c r="G97" s="13">
        <f t="shared" si="12"/>
        <v>5</v>
      </c>
      <c r="H97" s="15" t="str">
        <f t="shared" si="13"/>
        <v/>
      </c>
      <c r="I97" s="14" t="str">
        <f t="shared" si="14"/>
        <v/>
      </c>
      <c r="J97" s="16" t="str">
        <f t="shared" si="15"/>
        <v/>
      </c>
      <c r="P97" t="str">
        <f t="shared" si="16"/>
        <v/>
      </c>
    </row>
    <row r="98" spans="1:16" x14ac:dyDescent="0.3">
      <c r="A98" s="1">
        <v>1096</v>
      </c>
      <c r="B98" s="2">
        <v>41382.158637657871</v>
      </c>
      <c r="C98" s="1">
        <v>8</v>
      </c>
      <c r="D98" s="1">
        <v>440</v>
      </c>
      <c r="E98">
        <f t="shared" si="10"/>
        <v>1</v>
      </c>
      <c r="F98" s="13">
        <f t="shared" si="11"/>
        <v>1</v>
      </c>
      <c r="G98" s="13">
        <f t="shared" si="12"/>
        <v>1</v>
      </c>
      <c r="H98" s="15" t="str">
        <f t="shared" si="13"/>
        <v/>
      </c>
      <c r="I98" s="14" t="str">
        <f t="shared" si="14"/>
        <v/>
      </c>
      <c r="J98" s="16" t="str">
        <f t="shared" si="15"/>
        <v/>
      </c>
      <c r="P98" t="str">
        <f t="shared" si="16"/>
        <v/>
      </c>
    </row>
    <row r="99" spans="1:16" x14ac:dyDescent="0.3">
      <c r="A99" s="1">
        <v>1097</v>
      </c>
      <c r="B99" s="2">
        <v>41402.091527624347</v>
      </c>
      <c r="C99" s="1">
        <v>8</v>
      </c>
      <c r="D99" s="1">
        <v>352</v>
      </c>
      <c r="E99">
        <f t="shared" si="10"/>
        <v>1</v>
      </c>
      <c r="F99" s="13">
        <f t="shared" si="11"/>
        <v>1</v>
      </c>
      <c r="G99" s="13">
        <f t="shared" si="12"/>
        <v>2</v>
      </c>
      <c r="H99" s="15" t="str">
        <f t="shared" si="13"/>
        <v/>
      </c>
      <c r="I99" s="14" t="str">
        <f t="shared" si="14"/>
        <v/>
      </c>
      <c r="J99" s="16" t="str">
        <f t="shared" si="15"/>
        <v/>
      </c>
      <c r="P99" t="str">
        <f t="shared" si="16"/>
        <v/>
      </c>
    </row>
    <row r="100" spans="1:16" x14ac:dyDescent="0.3">
      <c r="A100" s="1">
        <v>1098</v>
      </c>
      <c r="B100" s="2">
        <v>41286.426544831142</v>
      </c>
      <c r="C100" s="1">
        <v>9</v>
      </c>
      <c r="D100" s="1">
        <v>171</v>
      </c>
      <c r="E100">
        <f t="shared" si="10"/>
        <v>2</v>
      </c>
      <c r="F100" s="13">
        <f t="shared" si="11"/>
        <v>1</v>
      </c>
      <c r="G100" s="13">
        <f t="shared" si="12"/>
        <v>3</v>
      </c>
      <c r="H100" s="15" t="str">
        <f t="shared" si="13"/>
        <v/>
      </c>
      <c r="I100" s="14" t="str">
        <f t="shared" si="14"/>
        <v/>
      </c>
      <c r="J100" s="16" t="str">
        <f t="shared" si="15"/>
        <v/>
      </c>
      <c r="P100" t="str">
        <f t="shared" si="16"/>
        <v/>
      </c>
    </row>
    <row r="101" spans="1:16" x14ac:dyDescent="0.3">
      <c r="A101" s="1">
        <v>1099</v>
      </c>
      <c r="B101" s="2">
        <v>41417.136357284726</v>
      </c>
      <c r="C101" s="1">
        <v>8</v>
      </c>
      <c r="D101" s="1">
        <v>520</v>
      </c>
      <c r="E101">
        <f t="shared" si="10"/>
        <v>1</v>
      </c>
      <c r="F101" s="13">
        <f t="shared" si="11"/>
        <v>1</v>
      </c>
      <c r="G101" s="13">
        <f t="shared" si="12"/>
        <v>1</v>
      </c>
      <c r="H101" s="15" t="str">
        <f t="shared" si="13"/>
        <v/>
      </c>
      <c r="I101" s="14" t="str">
        <f t="shared" si="14"/>
        <v/>
      </c>
      <c r="J101" s="16" t="str">
        <f t="shared" si="15"/>
        <v/>
      </c>
      <c r="P101" t="str">
        <f t="shared" si="16"/>
        <v/>
      </c>
    </row>
    <row r="102" spans="1:16" x14ac:dyDescent="0.3">
      <c r="A102" s="1">
        <v>1100</v>
      </c>
      <c r="B102" s="2">
        <v>41263.139895342254</v>
      </c>
      <c r="C102" s="1">
        <v>8</v>
      </c>
      <c r="D102" s="1">
        <v>408</v>
      </c>
      <c r="E102">
        <f t="shared" si="10"/>
        <v>2</v>
      </c>
      <c r="F102" s="13">
        <f t="shared" si="11"/>
        <v>1</v>
      </c>
      <c r="G102" s="13">
        <f t="shared" si="12"/>
        <v>2</v>
      </c>
      <c r="H102" s="15" t="str">
        <f t="shared" si="13"/>
        <v/>
      </c>
      <c r="I102" s="14" t="str">
        <f t="shared" si="14"/>
        <v/>
      </c>
      <c r="J102" s="16" t="str">
        <f t="shared" si="15"/>
        <v/>
      </c>
      <c r="P102" t="str">
        <f t="shared" si="16"/>
        <v/>
      </c>
    </row>
    <row r="103" spans="1:16" x14ac:dyDescent="0.3">
      <c r="A103" s="1">
        <v>1101</v>
      </c>
      <c r="B103" s="2">
        <v>41217.956871641269</v>
      </c>
      <c r="C103" s="1">
        <v>1</v>
      </c>
      <c r="D103" s="1">
        <v>100</v>
      </c>
      <c r="E103">
        <f t="shared" si="10"/>
        <v>3</v>
      </c>
      <c r="F103" s="13">
        <f t="shared" si="11"/>
        <v>4</v>
      </c>
      <c r="G103" s="13">
        <f t="shared" si="12"/>
        <v>4</v>
      </c>
      <c r="H103" s="15" t="str">
        <f t="shared" si="13"/>
        <v/>
      </c>
      <c r="I103" s="14" t="str">
        <f t="shared" si="14"/>
        <v/>
      </c>
      <c r="J103" s="16" t="str">
        <f t="shared" si="15"/>
        <v/>
      </c>
      <c r="P103" t="str">
        <f t="shared" si="16"/>
        <v/>
      </c>
    </row>
    <row r="104" spans="1:16" x14ac:dyDescent="0.3">
      <c r="A104" s="1">
        <v>1102</v>
      </c>
      <c r="B104" s="2">
        <v>41184.911418153257</v>
      </c>
      <c r="C104" s="1">
        <v>3</v>
      </c>
      <c r="D104" s="1">
        <v>156</v>
      </c>
      <c r="E104">
        <f t="shared" si="10"/>
        <v>3</v>
      </c>
      <c r="F104" s="13">
        <f t="shared" si="11"/>
        <v>3</v>
      </c>
      <c r="G104" s="13">
        <f t="shared" si="12"/>
        <v>3</v>
      </c>
      <c r="H104" s="15" t="str">
        <f t="shared" si="13"/>
        <v/>
      </c>
      <c r="I104" s="14" t="str">
        <f t="shared" si="14"/>
        <v/>
      </c>
      <c r="J104" s="16" t="str">
        <f t="shared" si="15"/>
        <v/>
      </c>
      <c r="P104" t="str">
        <f t="shared" si="16"/>
        <v/>
      </c>
    </row>
    <row r="105" spans="1:16" x14ac:dyDescent="0.3">
      <c r="A105" s="1">
        <v>1103</v>
      </c>
      <c r="B105" s="2">
        <v>41337.404996985875</v>
      </c>
      <c r="C105" s="1">
        <v>4</v>
      </c>
      <c r="D105" s="1">
        <v>308</v>
      </c>
      <c r="E105">
        <f t="shared" si="10"/>
        <v>1</v>
      </c>
      <c r="F105" s="13">
        <f t="shared" si="11"/>
        <v>2</v>
      </c>
      <c r="G105" s="13">
        <f t="shared" si="12"/>
        <v>2</v>
      </c>
      <c r="H105" s="15" t="str">
        <f t="shared" si="13"/>
        <v/>
      </c>
      <c r="I105" s="14" t="str">
        <f t="shared" si="14"/>
        <v/>
      </c>
      <c r="J105" s="16" t="str">
        <f t="shared" si="15"/>
        <v/>
      </c>
      <c r="P105" t="str">
        <f t="shared" si="16"/>
        <v/>
      </c>
    </row>
    <row r="106" spans="1:16" x14ac:dyDescent="0.3">
      <c r="A106" s="1">
        <v>1104</v>
      </c>
      <c r="B106" s="2">
        <v>41398.494457603185</v>
      </c>
      <c r="C106" s="1">
        <v>4</v>
      </c>
      <c r="D106" s="1">
        <v>204</v>
      </c>
      <c r="E106">
        <f t="shared" si="10"/>
        <v>1</v>
      </c>
      <c r="F106" s="13">
        <f t="shared" si="11"/>
        <v>2</v>
      </c>
      <c r="G106" s="13">
        <f t="shared" si="12"/>
        <v>3</v>
      </c>
      <c r="H106" s="15" t="str">
        <f t="shared" si="13"/>
        <v/>
      </c>
      <c r="I106" s="14" t="str">
        <f t="shared" si="14"/>
        <v/>
      </c>
      <c r="J106" s="16" t="str">
        <f t="shared" si="15"/>
        <v/>
      </c>
      <c r="P106" t="str">
        <f t="shared" si="16"/>
        <v/>
      </c>
    </row>
    <row r="107" spans="1:16" x14ac:dyDescent="0.3">
      <c r="A107" s="1">
        <v>1105</v>
      </c>
      <c r="B107" s="2">
        <v>41315.905763261864</v>
      </c>
      <c r="C107" s="1">
        <v>7</v>
      </c>
      <c r="D107" s="1">
        <v>392</v>
      </c>
      <c r="E107">
        <f t="shared" si="10"/>
        <v>1</v>
      </c>
      <c r="F107" s="13">
        <f t="shared" si="11"/>
        <v>1</v>
      </c>
      <c r="G107" s="13">
        <f t="shared" si="12"/>
        <v>2</v>
      </c>
      <c r="H107" s="15" t="str">
        <f t="shared" si="13"/>
        <v/>
      </c>
      <c r="I107" s="14" t="str">
        <f t="shared" si="14"/>
        <v/>
      </c>
      <c r="J107" s="16" t="str">
        <f t="shared" si="15"/>
        <v/>
      </c>
      <c r="P107" t="str">
        <f t="shared" si="16"/>
        <v/>
      </c>
    </row>
    <row r="108" spans="1:16" x14ac:dyDescent="0.3">
      <c r="A108" s="1">
        <v>1106</v>
      </c>
      <c r="B108" s="2">
        <v>41166.11920388171</v>
      </c>
      <c r="C108" s="1">
        <v>2</v>
      </c>
      <c r="D108" s="1">
        <v>110</v>
      </c>
      <c r="E108">
        <f t="shared" si="10"/>
        <v>4</v>
      </c>
      <c r="F108" s="13">
        <f t="shared" si="11"/>
        <v>3</v>
      </c>
      <c r="G108" s="13">
        <f t="shared" si="12"/>
        <v>4</v>
      </c>
      <c r="H108" s="15" t="str">
        <f t="shared" si="13"/>
        <v/>
      </c>
      <c r="I108" s="14" t="str">
        <f t="shared" si="14"/>
        <v/>
      </c>
      <c r="J108" s="16" t="str">
        <f t="shared" si="15"/>
        <v/>
      </c>
      <c r="P108" t="str">
        <f t="shared" si="16"/>
        <v/>
      </c>
    </row>
    <row r="109" spans="1:16" x14ac:dyDescent="0.3">
      <c r="A109" s="1">
        <v>1107</v>
      </c>
      <c r="B109" s="2">
        <v>41282.351688294868</v>
      </c>
      <c r="C109" s="1">
        <v>1</v>
      </c>
      <c r="D109" s="1">
        <v>65</v>
      </c>
      <c r="E109">
        <f t="shared" si="10"/>
        <v>2</v>
      </c>
      <c r="F109" s="13">
        <f t="shared" si="11"/>
        <v>4</v>
      </c>
      <c r="G109" s="13">
        <f t="shared" si="12"/>
        <v>4</v>
      </c>
      <c r="H109" s="15" t="str">
        <f t="shared" si="13"/>
        <v/>
      </c>
      <c r="I109" s="14" t="str">
        <f t="shared" si="14"/>
        <v/>
      </c>
      <c r="J109" s="16" t="str">
        <f t="shared" si="15"/>
        <v/>
      </c>
      <c r="P109" t="str">
        <f t="shared" si="16"/>
        <v/>
      </c>
    </row>
    <row r="110" spans="1:16" x14ac:dyDescent="0.3">
      <c r="A110" s="1">
        <v>1108</v>
      </c>
      <c r="B110" s="2">
        <v>41157.168647842082</v>
      </c>
      <c r="C110" s="1">
        <v>6</v>
      </c>
      <c r="D110" s="1">
        <v>192</v>
      </c>
      <c r="E110">
        <f t="shared" si="10"/>
        <v>4</v>
      </c>
      <c r="F110" s="13">
        <f t="shared" si="11"/>
        <v>1</v>
      </c>
      <c r="G110" s="13">
        <f t="shared" si="12"/>
        <v>3</v>
      </c>
      <c r="H110" s="15" t="str">
        <f t="shared" si="13"/>
        <v/>
      </c>
      <c r="I110" s="14" t="str">
        <f t="shared" si="14"/>
        <v/>
      </c>
      <c r="J110" s="16" t="str">
        <f t="shared" si="15"/>
        <v/>
      </c>
      <c r="P110" t="str">
        <f t="shared" si="16"/>
        <v/>
      </c>
    </row>
    <row r="111" spans="1:16" x14ac:dyDescent="0.3">
      <c r="A111" s="1">
        <v>1109</v>
      </c>
      <c r="B111" s="2">
        <v>41336.384112724438</v>
      </c>
      <c r="C111" s="1">
        <v>0</v>
      </c>
      <c r="D111" s="1">
        <v>0</v>
      </c>
      <c r="E111">
        <f t="shared" si="10"/>
        <v>1</v>
      </c>
      <c r="F111" s="13">
        <f t="shared" si="11"/>
        <v>4</v>
      </c>
      <c r="G111" s="13">
        <f t="shared" si="12"/>
        <v>5</v>
      </c>
      <c r="H111" s="15" t="str">
        <f t="shared" si="13"/>
        <v/>
      </c>
      <c r="I111" s="14" t="str">
        <f t="shared" si="14"/>
        <v/>
      </c>
      <c r="J111" s="16" t="str">
        <f t="shared" si="15"/>
        <v/>
      </c>
      <c r="P111" t="str">
        <f t="shared" si="16"/>
        <v/>
      </c>
    </row>
    <row r="112" spans="1:16" x14ac:dyDescent="0.3">
      <c r="A112" s="1">
        <v>1110</v>
      </c>
      <c r="B112" s="2">
        <v>41255.110665996232</v>
      </c>
      <c r="C112" s="1">
        <v>6</v>
      </c>
      <c r="D112" s="1">
        <v>276</v>
      </c>
      <c r="E112">
        <f t="shared" si="10"/>
        <v>2</v>
      </c>
      <c r="F112" s="13">
        <f t="shared" si="11"/>
        <v>1</v>
      </c>
      <c r="G112" s="13">
        <f t="shared" si="12"/>
        <v>2</v>
      </c>
      <c r="H112" s="15" t="str">
        <f t="shared" si="13"/>
        <v/>
      </c>
      <c r="I112" s="14" t="str">
        <f t="shared" si="14"/>
        <v/>
      </c>
      <c r="J112" s="16" t="str">
        <f t="shared" si="15"/>
        <v/>
      </c>
      <c r="P112" t="str">
        <f t="shared" si="16"/>
        <v/>
      </c>
    </row>
    <row r="113" spans="1:16" x14ac:dyDescent="0.3">
      <c r="A113" s="1">
        <v>1111</v>
      </c>
      <c r="B113" s="2">
        <v>41279.254698945304</v>
      </c>
      <c r="C113" s="1">
        <v>5</v>
      </c>
      <c r="D113" s="1">
        <v>355</v>
      </c>
      <c r="E113">
        <f t="shared" si="10"/>
        <v>2</v>
      </c>
      <c r="F113" s="13">
        <f t="shared" si="11"/>
        <v>2</v>
      </c>
      <c r="G113" s="13">
        <f t="shared" si="12"/>
        <v>2</v>
      </c>
      <c r="H113" s="15" t="str">
        <f t="shared" si="13"/>
        <v/>
      </c>
      <c r="I113" s="14" t="str">
        <f t="shared" si="14"/>
        <v/>
      </c>
      <c r="J113" s="16" t="str">
        <f t="shared" si="15"/>
        <v/>
      </c>
      <c r="P113" t="str">
        <f t="shared" si="16"/>
        <v/>
      </c>
    </row>
    <row r="114" spans="1:16" x14ac:dyDescent="0.3">
      <c r="A114" s="1">
        <v>1112</v>
      </c>
      <c r="B114" s="2">
        <v>41294.129792529799</v>
      </c>
      <c r="C114" s="1">
        <v>2</v>
      </c>
      <c r="D114" s="1">
        <v>10</v>
      </c>
      <c r="E114">
        <f t="shared" si="10"/>
        <v>2</v>
      </c>
      <c r="F114" s="13">
        <f t="shared" si="11"/>
        <v>3</v>
      </c>
      <c r="G114" s="13">
        <f t="shared" si="12"/>
        <v>5</v>
      </c>
      <c r="H114" s="15" t="str">
        <f t="shared" si="13"/>
        <v/>
      </c>
      <c r="I114" s="14" t="str">
        <f t="shared" si="14"/>
        <v/>
      </c>
      <c r="J114" s="16" t="str">
        <f t="shared" si="15"/>
        <v/>
      </c>
      <c r="P114" t="str">
        <f t="shared" si="16"/>
        <v/>
      </c>
    </row>
    <row r="115" spans="1:16" x14ac:dyDescent="0.3">
      <c r="A115" s="1">
        <v>1113</v>
      </c>
      <c r="B115" s="2">
        <v>41287.424988131002</v>
      </c>
      <c r="C115" s="1">
        <v>5</v>
      </c>
      <c r="D115" s="1">
        <v>470</v>
      </c>
      <c r="E115">
        <f t="shared" si="10"/>
        <v>2</v>
      </c>
      <c r="F115" s="13">
        <f t="shared" si="11"/>
        <v>2</v>
      </c>
      <c r="G115" s="13">
        <f t="shared" si="12"/>
        <v>1</v>
      </c>
      <c r="H115" s="15" t="str">
        <f t="shared" si="13"/>
        <v/>
      </c>
      <c r="I115" s="14" t="str">
        <f t="shared" si="14"/>
        <v/>
      </c>
      <c r="J115" s="16" t="str">
        <f t="shared" si="15"/>
        <v/>
      </c>
      <c r="P115" t="str">
        <f t="shared" si="16"/>
        <v/>
      </c>
    </row>
    <row r="116" spans="1:16" x14ac:dyDescent="0.3">
      <c r="A116" s="1">
        <v>1114</v>
      </c>
      <c r="B116" s="2">
        <v>41379.917540400013</v>
      </c>
      <c r="C116" s="1">
        <v>8</v>
      </c>
      <c r="D116" s="1">
        <v>112</v>
      </c>
      <c r="E116">
        <f t="shared" si="10"/>
        <v>1</v>
      </c>
      <c r="F116" s="13">
        <f t="shared" si="11"/>
        <v>1</v>
      </c>
      <c r="G116" s="13">
        <f t="shared" si="12"/>
        <v>4</v>
      </c>
      <c r="H116" s="15" t="str">
        <f t="shared" si="13"/>
        <v/>
      </c>
      <c r="I116" s="14" t="str">
        <f t="shared" si="14"/>
        <v>Upsell</v>
      </c>
      <c r="J116" s="16" t="str">
        <f t="shared" si="15"/>
        <v/>
      </c>
      <c r="P116" t="str">
        <f t="shared" si="16"/>
        <v>Upsell</v>
      </c>
    </row>
    <row r="117" spans="1:16" x14ac:dyDescent="0.3">
      <c r="A117" s="1">
        <v>1115</v>
      </c>
      <c r="B117" s="2">
        <v>41392.955412279807</v>
      </c>
      <c r="C117" s="1">
        <v>2</v>
      </c>
      <c r="D117" s="1">
        <v>50</v>
      </c>
      <c r="E117">
        <f t="shared" si="10"/>
        <v>1</v>
      </c>
      <c r="F117" s="13">
        <f t="shared" si="11"/>
        <v>3</v>
      </c>
      <c r="G117" s="13">
        <f t="shared" si="12"/>
        <v>4</v>
      </c>
      <c r="H117" s="15" t="str">
        <f t="shared" si="13"/>
        <v/>
      </c>
      <c r="I117" s="14" t="str">
        <f t="shared" si="14"/>
        <v/>
      </c>
      <c r="J117" s="16" t="str">
        <f t="shared" si="15"/>
        <v/>
      </c>
      <c r="P117" t="str">
        <f t="shared" si="16"/>
        <v/>
      </c>
    </row>
    <row r="118" spans="1:16" x14ac:dyDescent="0.3">
      <c r="A118" s="1">
        <v>1116</v>
      </c>
      <c r="B118" s="2">
        <v>41126.36441997486</v>
      </c>
      <c r="C118" s="1">
        <v>3</v>
      </c>
      <c r="D118" s="1">
        <v>12</v>
      </c>
      <c r="E118">
        <f t="shared" si="10"/>
        <v>4</v>
      </c>
      <c r="F118" s="13">
        <f t="shared" si="11"/>
        <v>3</v>
      </c>
      <c r="G118" s="13">
        <f t="shared" si="12"/>
        <v>5</v>
      </c>
      <c r="H118" s="15" t="str">
        <f t="shared" si="13"/>
        <v/>
      </c>
      <c r="I118" s="14" t="str">
        <f t="shared" si="14"/>
        <v/>
      </c>
      <c r="J118" s="16" t="str">
        <f t="shared" si="15"/>
        <v/>
      </c>
      <c r="P118" t="str">
        <f t="shared" si="16"/>
        <v/>
      </c>
    </row>
    <row r="119" spans="1:16" x14ac:dyDescent="0.3">
      <c r="A119" s="1">
        <v>1117</v>
      </c>
      <c r="B119" s="2">
        <v>41186.589969327899</v>
      </c>
      <c r="C119" s="1">
        <v>6</v>
      </c>
      <c r="D119" s="1">
        <v>498</v>
      </c>
      <c r="E119">
        <f t="shared" si="10"/>
        <v>3</v>
      </c>
      <c r="F119" s="13">
        <f t="shared" si="11"/>
        <v>1</v>
      </c>
      <c r="G119" s="13">
        <f t="shared" si="12"/>
        <v>1</v>
      </c>
      <c r="H119" s="15" t="str">
        <f t="shared" si="13"/>
        <v/>
      </c>
      <c r="I119" s="14" t="str">
        <f t="shared" si="14"/>
        <v/>
      </c>
      <c r="J119" s="16" t="str">
        <f t="shared" si="15"/>
        <v/>
      </c>
      <c r="P119" t="str">
        <f t="shared" si="16"/>
        <v/>
      </c>
    </row>
    <row r="120" spans="1:16" x14ac:dyDescent="0.3">
      <c r="A120" s="1">
        <v>1118</v>
      </c>
      <c r="B120" s="2">
        <v>41217.752806068333</v>
      </c>
      <c r="C120" s="1">
        <v>8</v>
      </c>
      <c r="D120" s="1">
        <v>656</v>
      </c>
      <c r="E120">
        <f t="shared" si="10"/>
        <v>3</v>
      </c>
      <c r="F120" s="13">
        <f t="shared" si="11"/>
        <v>1</v>
      </c>
      <c r="G120" s="13">
        <f t="shared" si="12"/>
        <v>1</v>
      </c>
      <c r="H120" s="15" t="str">
        <f t="shared" si="13"/>
        <v/>
      </c>
      <c r="I120" s="14" t="str">
        <f t="shared" si="14"/>
        <v/>
      </c>
      <c r="J120" s="16" t="str">
        <f t="shared" si="15"/>
        <v/>
      </c>
      <c r="P120" t="str">
        <f t="shared" si="16"/>
        <v/>
      </c>
    </row>
    <row r="121" spans="1:16" x14ac:dyDescent="0.3">
      <c r="A121" s="1">
        <v>1119</v>
      </c>
      <c r="B121" s="2">
        <v>41295.081831075397</v>
      </c>
      <c r="C121" s="1">
        <v>5</v>
      </c>
      <c r="D121" s="1">
        <v>185</v>
      </c>
      <c r="E121">
        <f t="shared" si="10"/>
        <v>2</v>
      </c>
      <c r="F121" s="13">
        <f t="shared" si="11"/>
        <v>2</v>
      </c>
      <c r="G121" s="13">
        <f t="shared" si="12"/>
        <v>3</v>
      </c>
      <c r="H121" s="15" t="str">
        <f t="shared" si="13"/>
        <v/>
      </c>
      <c r="I121" s="14" t="str">
        <f t="shared" si="14"/>
        <v/>
      </c>
      <c r="J121" s="16" t="str">
        <f t="shared" si="15"/>
        <v/>
      </c>
      <c r="P121" t="str">
        <f t="shared" si="16"/>
        <v/>
      </c>
    </row>
    <row r="122" spans="1:16" x14ac:dyDescent="0.3">
      <c r="A122" s="1">
        <v>1120</v>
      </c>
      <c r="B122" s="2">
        <v>41392.698626992664</v>
      </c>
      <c r="C122" s="1">
        <v>6</v>
      </c>
      <c r="D122" s="1">
        <v>0</v>
      </c>
      <c r="E122">
        <f t="shared" si="10"/>
        <v>1</v>
      </c>
      <c r="F122" s="13">
        <f t="shared" si="11"/>
        <v>1</v>
      </c>
      <c r="G122" s="13">
        <f t="shared" si="12"/>
        <v>5</v>
      </c>
      <c r="H122" s="15" t="str">
        <f t="shared" si="13"/>
        <v/>
      </c>
      <c r="I122" s="14" t="str">
        <f t="shared" si="14"/>
        <v>Upsell</v>
      </c>
      <c r="J122" s="16" t="str">
        <f t="shared" si="15"/>
        <v/>
      </c>
      <c r="P122" t="str">
        <f t="shared" si="16"/>
        <v>Upsell</v>
      </c>
    </row>
    <row r="123" spans="1:16" x14ac:dyDescent="0.3">
      <c r="A123" s="1">
        <v>1121</v>
      </c>
      <c r="B123" s="2">
        <v>41214.950940284485</v>
      </c>
      <c r="C123" s="1">
        <v>2</v>
      </c>
      <c r="D123" s="1">
        <v>20</v>
      </c>
      <c r="E123">
        <f t="shared" si="10"/>
        <v>3</v>
      </c>
      <c r="F123" s="13">
        <f t="shared" si="11"/>
        <v>3</v>
      </c>
      <c r="G123" s="13">
        <f t="shared" si="12"/>
        <v>5</v>
      </c>
      <c r="H123" s="15" t="str">
        <f t="shared" si="13"/>
        <v/>
      </c>
      <c r="I123" s="14" t="str">
        <f t="shared" si="14"/>
        <v/>
      </c>
      <c r="J123" s="16" t="str">
        <f t="shared" si="15"/>
        <v/>
      </c>
      <c r="P123" t="str">
        <f t="shared" si="16"/>
        <v/>
      </c>
    </row>
    <row r="124" spans="1:16" x14ac:dyDescent="0.3">
      <c r="A124" s="1">
        <v>1122</v>
      </c>
      <c r="B124" s="2">
        <v>41162.649240089238</v>
      </c>
      <c r="C124" s="1">
        <v>8</v>
      </c>
      <c r="D124" s="1">
        <v>720</v>
      </c>
      <c r="E124">
        <f t="shared" si="10"/>
        <v>4</v>
      </c>
      <c r="F124" s="13">
        <f t="shared" si="11"/>
        <v>1</v>
      </c>
      <c r="G124" s="13">
        <f t="shared" si="12"/>
        <v>1</v>
      </c>
      <c r="H124" s="15" t="str">
        <f t="shared" si="13"/>
        <v/>
      </c>
      <c r="I124" s="14" t="str">
        <f t="shared" si="14"/>
        <v/>
      </c>
      <c r="J124" s="16" t="str">
        <f t="shared" si="15"/>
        <v>Contact</v>
      </c>
      <c r="P124" t="str">
        <f t="shared" si="16"/>
        <v>Contact</v>
      </c>
    </row>
    <row r="125" spans="1:16" x14ac:dyDescent="0.3">
      <c r="A125" s="1">
        <v>1123</v>
      </c>
      <c r="B125" s="2">
        <v>41233.003965428521</v>
      </c>
      <c r="C125" s="1">
        <v>5</v>
      </c>
      <c r="D125" s="1">
        <v>85</v>
      </c>
      <c r="E125">
        <f t="shared" si="10"/>
        <v>3</v>
      </c>
      <c r="F125" s="13">
        <f t="shared" si="11"/>
        <v>2</v>
      </c>
      <c r="G125" s="13">
        <f t="shared" si="12"/>
        <v>4</v>
      </c>
      <c r="H125" s="15" t="str">
        <f t="shared" si="13"/>
        <v/>
      </c>
      <c r="I125" s="14" t="str">
        <f t="shared" si="14"/>
        <v/>
      </c>
      <c r="J125" s="16" t="str">
        <f t="shared" si="15"/>
        <v/>
      </c>
      <c r="P125" t="str">
        <f t="shared" si="16"/>
        <v/>
      </c>
    </row>
    <row r="126" spans="1:16" x14ac:dyDescent="0.3">
      <c r="A126" s="1">
        <v>1124</v>
      </c>
      <c r="B126" s="2">
        <v>41159.189224139336</v>
      </c>
      <c r="C126" s="1">
        <v>1</v>
      </c>
      <c r="D126" s="1">
        <v>84</v>
      </c>
      <c r="E126">
        <f t="shared" si="10"/>
        <v>4</v>
      </c>
      <c r="F126" s="13">
        <f t="shared" si="11"/>
        <v>4</v>
      </c>
      <c r="G126" s="13">
        <f t="shared" si="12"/>
        <v>4</v>
      </c>
      <c r="H126" s="15" t="str">
        <f t="shared" si="13"/>
        <v>Ignore</v>
      </c>
      <c r="I126" s="14" t="str">
        <f t="shared" si="14"/>
        <v/>
      </c>
      <c r="J126" s="16" t="str">
        <f t="shared" si="15"/>
        <v/>
      </c>
      <c r="P126" t="str">
        <f t="shared" si="16"/>
        <v>Ignore</v>
      </c>
    </row>
    <row r="127" spans="1:16" x14ac:dyDescent="0.3">
      <c r="A127" s="1">
        <v>1125</v>
      </c>
      <c r="B127" s="2">
        <v>41204.985380366605</v>
      </c>
      <c r="C127" s="1">
        <v>3</v>
      </c>
      <c r="D127" s="1">
        <v>120</v>
      </c>
      <c r="E127">
        <f t="shared" si="10"/>
        <v>3</v>
      </c>
      <c r="F127" s="13">
        <f t="shared" si="11"/>
        <v>3</v>
      </c>
      <c r="G127" s="13">
        <f t="shared" si="12"/>
        <v>4</v>
      </c>
      <c r="H127" s="15" t="str">
        <f t="shared" si="13"/>
        <v/>
      </c>
      <c r="I127" s="14" t="str">
        <f t="shared" si="14"/>
        <v/>
      </c>
      <c r="J127" s="16" t="str">
        <f t="shared" si="15"/>
        <v/>
      </c>
      <c r="P127" t="str">
        <f t="shared" si="16"/>
        <v/>
      </c>
    </row>
    <row r="128" spans="1:16" x14ac:dyDescent="0.3">
      <c r="A128" s="1">
        <v>1126</v>
      </c>
      <c r="B128" s="2">
        <v>41381.296062041132</v>
      </c>
      <c r="C128" s="1">
        <v>4</v>
      </c>
      <c r="D128" s="1">
        <v>140</v>
      </c>
      <c r="E128">
        <f t="shared" si="10"/>
        <v>1</v>
      </c>
      <c r="F128" s="13">
        <f t="shared" si="11"/>
        <v>2</v>
      </c>
      <c r="G128" s="13">
        <f t="shared" si="12"/>
        <v>3</v>
      </c>
      <c r="H128" s="15" t="str">
        <f t="shared" si="13"/>
        <v/>
      </c>
      <c r="I128" s="14" t="str">
        <f t="shared" si="14"/>
        <v/>
      </c>
      <c r="J128" s="16" t="str">
        <f t="shared" si="15"/>
        <v/>
      </c>
      <c r="P128" t="str">
        <f t="shared" si="16"/>
        <v/>
      </c>
    </row>
    <row r="129" spans="1:16" x14ac:dyDescent="0.3">
      <c r="A129" s="1">
        <v>1127</v>
      </c>
      <c r="B129" s="2">
        <v>41168.120678155152</v>
      </c>
      <c r="C129" s="1">
        <v>9</v>
      </c>
      <c r="D129" s="1">
        <v>585</v>
      </c>
      <c r="E129">
        <f t="shared" si="10"/>
        <v>4</v>
      </c>
      <c r="F129" s="13">
        <f t="shared" si="11"/>
        <v>1</v>
      </c>
      <c r="G129" s="13">
        <f t="shared" si="12"/>
        <v>1</v>
      </c>
      <c r="H129" s="15" t="str">
        <f t="shared" si="13"/>
        <v/>
      </c>
      <c r="I129" s="14" t="str">
        <f t="shared" si="14"/>
        <v/>
      </c>
      <c r="J129" s="16" t="str">
        <f t="shared" si="15"/>
        <v>Contact</v>
      </c>
      <c r="P129" t="str">
        <f t="shared" si="16"/>
        <v>Contact</v>
      </c>
    </row>
    <row r="130" spans="1:16" x14ac:dyDescent="0.3">
      <c r="A130" s="1">
        <v>1128</v>
      </c>
      <c r="B130" s="2">
        <v>41195.694640171794</v>
      </c>
      <c r="C130" s="1">
        <v>1</v>
      </c>
      <c r="D130" s="1">
        <v>98</v>
      </c>
      <c r="E130">
        <f t="shared" si="10"/>
        <v>3</v>
      </c>
      <c r="F130" s="13">
        <f t="shared" si="11"/>
        <v>4</v>
      </c>
      <c r="G130" s="13">
        <f t="shared" si="12"/>
        <v>4</v>
      </c>
      <c r="H130" s="15" t="str">
        <f t="shared" si="13"/>
        <v/>
      </c>
      <c r="I130" s="14" t="str">
        <f t="shared" si="14"/>
        <v/>
      </c>
      <c r="J130" s="16" t="str">
        <f t="shared" si="15"/>
        <v/>
      </c>
      <c r="P130" t="str">
        <f t="shared" si="16"/>
        <v/>
      </c>
    </row>
    <row r="131" spans="1:16" x14ac:dyDescent="0.3">
      <c r="A131" s="1">
        <v>1129</v>
      </c>
      <c r="B131" s="2">
        <v>41250.569456916586</v>
      </c>
      <c r="C131" s="1">
        <v>5</v>
      </c>
      <c r="D131" s="1">
        <v>170</v>
      </c>
      <c r="E131">
        <f t="shared" ref="E131:E194" si="17">VLOOKUP(B131,$M$2:$N$6,2,TRUE)</f>
        <v>2</v>
      </c>
      <c r="F131" s="13">
        <f t="shared" ref="F131:F194" si="18">VLOOKUP(C131,$M$9:$N$13,2,TRUE)</f>
        <v>2</v>
      </c>
      <c r="G131" s="13">
        <f t="shared" ref="G131:G194" si="19">VLOOKUP(D131,$M$16:$N$20,2,TRUE)</f>
        <v>3</v>
      </c>
      <c r="H131" s="15" t="str">
        <f t="shared" ref="H131:H194" si="20">IF(AND(E131&gt;3,F131&gt;3,G131&gt;3),"Ignore","")</f>
        <v/>
      </c>
      <c r="I131" s="14" t="str">
        <f t="shared" ref="I131:I194" si="21">IF(AND(E131&lt;3,F131&lt;3,G131&gt;3),"Upsell","")</f>
        <v/>
      </c>
      <c r="J131" s="16" t="str">
        <f t="shared" ref="J131:J194" si="22">IF(AND(E131&gt;3,F131&lt;3,G131&lt;3),"Contact","")</f>
        <v/>
      </c>
      <c r="P131" t="str">
        <f t="shared" ref="P131:P194" si="23">IF(H131&lt;&gt;"","Ignore", IF(I131&lt;&gt;"","Upsell", IF(J131&lt;&gt;"","Contact","")))</f>
        <v/>
      </c>
    </row>
    <row r="132" spans="1:16" x14ac:dyDescent="0.3">
      <c r="A132" s="1">
        <v>1130</v>
      </c>
      <c r="B132" s="2">
        <v>41167.073605817823</v>
      </c>
      <c r="C132" s="1">
        <v>9</v>
      </c>
      <c r="D132" s="1">
        <v>441</v>
      </c>
      <c r="E132">
        <f t="shared" si="17"/>
        <v>4</v>
      </c>
      <c r="F132" s="13">
        <f t="shared" si="18"/>
        <v>1</v>
      </c>
      <c r="G132" s="13">
        <f t="shared" si="19"/>
        <v>1</v>
      </c>
      <c r="H132" s="15" t="str">
        <f t="shared" si="20"/>
        <v/>
      </c>
      <c r="I132" s="14" t="str">
        <f t="shared" si="21"/>
        <v/>
      </c>
      <c r="J132" s="16" t="str">
        <f t="shared" si="22"/>
        <v>Contact</v>
      </c>
      <c r="P132" t="str">
        <f t="shared" si="23"/>
        <v>Contact</v>
      </c>
    </row>
    <row r="133" spans="1:16" x14ac:dyDescent="0.3">
      <c r="A133" s="1">
        <v>1131</v>
      </c>
      <c r="B133" s="2">
        <v>41387.95170535818</v>
      </c>
      <c r="C133" s="1">
        <v>1</v>
      </c>
      <c r="D133" s="1">
        <v>98</v>
      </c>
      <c r="E133">
        <f t="shared" si="17"/>
        <v>1</v>
      </c>
      <c r="F133" s="13">
        <f t="shared" si="18"/>
        <v>4</v>
      </c>
      <c r="G133" s="13">
        <f t="shared" si="19"/>
        <v>4</v>
      </c>
      <c r="H133" s="15" t="str">
        <f t="shared" si="20"/>
        <v/>
      </c>
      <c r="I133" s="14" t="str">
        <f t="shared" si="21"/>
        <v/>
      </c>
      <c r="J133" s="16" t="str">
        <f t="shared" si="22"/>
        <v/>
      </c>
      <c r="P133" t="str">
        <f t="shared" si="23"/>
        <v/>
      </c>
    </row>
    <row r="134" spans="1:16" x14ac:dyDescent="0.3">
      <c r="A134" s="1">
        <v>1132</v>
      </c>
      <c r="B134" s="2">
        <v>41346.043373262466</v>
      </c>
      <c r="C134" s="1">
        <v>7</v>
      </c>
      <c r="D134" s="1">
        <v>679</v>
      </c>
      <c r="E134">
        <f t="shared" si="17"/>
        <v>1</v>
      </c>
      <c r="F134" s="13">
        <f t="shared" si="18"/>
        <v>1</v>
      </c>
      <c r="G134" s="13">
        <f t="shared" si="19"/>
        <v>1</v>
      </c>
      <c r="H134" s="15" t="str">
        <f t="shared" si="20"/>
        <v/>
      </c>
      <c r="I134" s="14" t="str">
        <f t="shared" si="21"/>
        <v/>
      </c>
      <c r="J134" s="16" t="str">
        <f t="shared" si="22"/>
        <v/>
      </c>
      <c r="P134" t="str">
        <f t="shared" si="23"/>
        <v/>
      </c>
    </row>
    <row r="135" spans="1:16" x14ac:dyDescent="0.3">
      <c r="A135" s="1">
        <v>1133</v>
      </c>
      <c r="B135" s="2">
        <v>41252.802365957396</v>
      </c>
      <c r="C135" s="1">
        <v>6</v>
      </c>
      <c r="D135" s="1">
        <v>24</v>
      </c>
      <c r="E135">
        <f t="shared" si="17"/>
        <v>2</v>
      </c>
      <c r="F135" s="13">
        <f t="shared" si="18"/>
        <v>1</v>
      </c>
      <c r="G135" s="13">
        <f t="shared" si="19"/>
        <v>5</v>
      </c>
      <c r="H135" s="15" t="str">
        <f t="shared" si="20"/>
        <v/>
      </c>
      <c r="I135" s="14" t="str">
        <f t="shared" si="21"/>
        <v>Upsell</v>
      </c>
      <c r="J135" s="16" t="str">
        <f t="shared" si="22"/>
        <v/>
      </c>
      <c r="P135" t="str">
        <f t="shared" si="23"/>
        <v>Upsell</v>
      </c>
    </row>
    <row r="136" spans="1:16" x14ac:dyDescent="0.3">
      <c r="A136" s="1">
        <v>1134</v>
      </c>
      <c r="B136" s="2">
        <v>41219.893435461687</v>
      </c>
      <c r="C136" s="1">
        <v>5</v>
      </c>
      <c r="D136" s="1">
        <v>190</v>
      </c>
      <c r="E136">
        <f t="shared" si="17"/>
        <v>3</v>
      </c>
      <c r="F136" s="13">
        <f t="shared" si="18"/>
        <v>2</v>
      </c>
      <c r="G136" s="13">
        <f t="shared" si="19"/>
        <v>3</v>
      </c>
      <c r="H136" s="15" t="str">
        <f t="shared" si="20"/>
        <v/>
      </c>
      <c r="I136" s="14" t="str">
        <f t="shared" si="21"/>
        <v/>
      </c>
      <c r="J136" s="16" t="str">
        <f t="shared" si="22"/>
        <v/>
      </c>
      <c r="P136" t="str">
        <f t="shared" si="23"/>
        <v/>
      </c>
    </row>
    <row r="137" spans="1:16" x14ac:dyDescent="0.3">
      <c r="A137" s="1">
        <v>1135</v>
      </c>
      <c r="B137" s="2">
        <v>41258.844786449496</v>
      </c>
      <c r="C137" s="1">
        <v>8</v>
      </c>
      <c r="D137" s="1">
        <v>448</v>
      </c>
      <c r="E137">
        <f t="shared" si="17"/>
        <v>2</v>
      </c>
      <c r="F137" s="13">
        <f t="shared" si="18"/>
        <v>1</v>
      </c>
      <c r="G137" s="13">
        <f t="shared" si="19"/>
        <v>1</v>
      </c>
      <c r="H137" s="15" t="str">
        <f t="shared" si="20"/>
        <v/>
      </c>
      <c r="I137" s="14" t="str">
        <f t="shared" si="21"/>
        <v/>
      </c>
      <c r="J137" s="16" t="str">
        <f t="shared" si="22"/>
        <v/>
      </c>
      <c r="P137" t="str">
        <f t="shared" si="23"/>
        <v/>
      </c>
    </row>
    <row r="138" spans="1:16" x14ac:dyDescent="0.3">
      <c r="A138" s="1">
        <v>1136</v>
      </c>
      <c r="B138" s="2">
        <v>41225.218267866891</v>
      </c>
      <c r="C138" s="1">
        <v>4</v>
      </c>
      <c r="D138" s="1">
        <v>240</v>
      </c>
      <c r="E138">
        <f t="shared" si="17"/>
        <v>3</v>
      </c>
      <c r="F138" s="13">
        <f t="shared" si="18"/>
        <v>2</v>
      </c>
      <c r="G138" s="13">
        <f t="shared" si="19"/>
        <v>2</v>
      </c>
      <c r="H138" s="15" t="str">
        <f t="shared" si="20"/>
        <v/>
      </c>
      <c r="I138" s="14" t="str">
        <f t="shared" si="21"/>
        <v/>
      </c>
      <c r="J138" s="16" t="str">
        <f t="shared" si="22"/>
        <v/>
      </c>
      <c r="P138" t="str">
        <f t="shared" si="23"/>
        <v/>
      </c>
    </row>
    <row r="139" spans="1:16" x14ac:dyDescent="0.3">
      <c r="A139" s="1">
        <v>1137</v>
      </c>
      <c r="B139" s="2">
        <v>41256.60239135263</v>
      </c>
      <c r="C139" s="1">
        <v>9</v>
      </c>
      <c r="D139" s="1">
        <v>333</v>
      </c>
      <c r="E139">
        <f t="shared" si="17"/>
        <v>2</v>
      </c>
      <c r="F139" s="13">
        <f t="shared" si="18"/>
        <v>1</v>
      </c>
      <c r="G139" s="13">
        <f t="shared" si="19"/>
        <v>2</v>
      </c>
      <c r="H139" s="15" t="str">
        <f t="shared" si="20"/>
        <v/>
      </c>
      <c r="I139" s="14" t="str">
        <f t="shared" si="21"/>
        <v/>
      </c>
      <c r="J139" s="16" t="str">
        <f t="shared" si="22"/>
        <v/>
      </c>
      <c r="P139" t="str">
        <f t="shared" si="23"/>
        <v/>
      </c>
    </row>
    <row r="140" spans="1:16" x14ac:dyDescent="0.3">
      <c r="A140" s="1">
        <v>1138</v>
      </c>
      <c r="B140" s="2">
        <v>41331.282713342305</v>
      </c>
      <c r="C140" s="1">
        <v>8</v>
      </c>
      <c r="D140" s="1">
        <v>472</v>
      </c>
      <c r="E140">
        <f t="shared" si="17"/>
        <v>1</v>
      </c>
      <c r="F140" s="13">
        <f t="shared" si="18"/>
        <v>1</v>
      </c>
      <c r="G140" s="13">
        <f t="shared" si="19"/>
        <v>1</v>
      </c>
      <c r="H140" s="15" t="str">
        <f t="shared" si="20"/>
        <v/>
      </c>
      <c r="I140" s="14" t="str">
        <f t="shared" si="21"/>
        <v/>
      </c>
      <c r="J140" s="16" t="str">
        <f t="shared" si="22"/>
        <v/>
      </c>
      <c r="P140" t="str">
        <f t="shared" si="23"/>
        <v/>
      </c>
    </row>
    <row r="141" spans="1:16" x14ac:dyDescent="0.3">
      <c r="A141" s="1">
        <v>1139</v>
      </c>
      <c r="B141" s="2">
        <v>41263.495854851331</v>
      </c>
      <c r="C141" s="1">
        <v>6</v>
      </c>
      <c r="D141" s="1">
        <v>36</v>
      </c>
      <c r="E141">
        <f t="shared" si="17"/>
        <v>2</v>
      </c>
      <c r="F141" s="13">
        <f t="shared" si="18"/>
        <v>1</v>
      </c>
      <c r="G141" s="13">
        <f t="shared" si="19"/>
        <v>5</v>
      </c>
      <c r="H141" s="15" t="str">
        <f t="shared" si="20"/>
        <v/>
      </c>
      <c r="I141" s="14" t="str">
        <f t="shared" si="21"/>
        <v>Upsell</v>
      </c>
      <c r="J141" s="16" t="str">
        <f t="shared" si="22"/>
        <v/>
      </c>
      <c r="P141" t="str">
        <f t="shared" si="23"/>
        <v>Upsell</v>
      </c>
    </row>
    <row r="142" spans="1:16" x14ac:dyDescent="0.3">
      <c r="A142" s="1">
        <v>1140</v>
      </c>
      <c r="B142" s="2">
        <v>41310.948805600092</v>
      </c>
      <c r="C142" s="1">
        <v>5</v>
      </c>
      <c r="D142" s="1">
        <v>150</v>
      </c>
      <c r="E142">
        <f t="shared" si="17"/>
        <v>1</v>
      </c>
      <c r="F142" s="13">
        <f t="shared" si="18"/>
        <v>2</v>
      </c>
      <c r="G142" s="13">
        <f t="shared" si="19"/>
        <v>3</v>
      </c>
      <c r="H142" s="15" t="str">
        <f t="shared" si="20"/>
        <v/>
      </c>
      <c r="I142" s="14" t="str">
        <f t="shared" si="21"/>
        <v/>
      </c>
      <c r="J142" s="16" t="str">
        <f t="shared" si="22"/>
        <v/>
      </c>
      <c r="P142" t="str">
        <f t="shared" si="23"/>
        <v/>
      </c>
    </row>
    <row r="143" spans="1:16" x14ac:dyDescent="0.3">
      <c r="A143" s="1">
        <v>1141</v>
      </c>
      <c r="B143" s="2">
        <v>41229.732313924702</v>
      </c>
      <c r="C143" s="1">
        <v>1</v>
      </c>
      <c r="D143" s="1">
        <v>44</v>
      </c>
      <c r="E143">
        <f t="shared" si="17"/>
        <v>3</v>
      </c>
      <c r="F143" s="13">
        <f t="shared" si="18"/>
        <v>4</v>
      </c>
      <c r="G143" s="13">
        <f t="shared" si="19"/>
        <v>4</v>
      </c>
      <c r="H143" s="15" t="str">
        <f t="shared" si="20"/>
        <v/>
      </c>
      <c r="I143" s="14" t="str">
        <f t="shared" si="21"/>
        <v/>
      </c>
      <c r="J143" s="16" t="str">
        <f t="shared" si="22"/>
        <v/>
      </c>
      <c r="P143" t="str">
        <f t="shared" si="23"/>
        <v/>
      </c>
    </row>
    <row r="144" spans="1:16" x14ac:dyDescent="0.3">
      <c r="A144" s="1">
        <v>1142</v>
      </c>
      <c r="B144" s="2">
        <v>41265.29664388323</v>
      </c>
      <c r="C144" s="1">
        <v>7</v>
      </c>
      <c r="D144" s="1">
        <v>637</v>
      </c>
      <c r="E144">
        <f t="shared" si="17"/>
        <v>2</v>
      </c>
      <c r="F144" s="13">
        <f t="shared" si="18"/>
        <v>1</v>
      </c>
      <c r="G144" s="13">
        <f t="shared" si="19"/>
        <v>1</v>
      </c>
      <c r="H144" s="15" t="str">
        <f t="shared" si="20"/>
        <v/>
      </c>
      <c r="I144" s="14" t="str">
        <f t="shared" si="21"/>
        <v/>
      </c>
      <c r="J144" s="16" t="str">
        <f t="shared" si="22"/>
        <v/>
      </c>
      <c r="P144" t="str">
        <f t="shared" si="23"/>
        <v/>
      </c>
    </row>
    <row r="145" spans="1:16" x14ac:dyDescent="0.3">
      <c r="A145" s="1">
        <v>1143</v>
      </c>
      <c r="B145" s="2">
        <v>41245.276250110423</v>
      </c>
      <c r="C145" s="1">
        <v>9</v>
      </c>
      <c r="D145" s="1">
        <v>531</v>
      </c>
      <c r="E145">
        <f t="shared" si="17"/>
        <v>2</v>
      </c>
      <c r="F145" s="13">
        <f t="shared" si="18"/>
        <v>1</v>
      </c>
      <c r="G145" s="13">
        <f t="shared" si="19"/>
        <v>1</v>
      </c>
      <c r="H145" s="15" t="str">
        <f t="shared" si="20"/>
        <v/>
      </c>
      <c r="I145" s="14" t="str">
        <f t="shared" si="21"/>
        <v/>
      </c>
      <c r="J145" s="16" t="str">
        <f t="shared" si="22"/>
        <v/>
      </c>
      <c r="P145" t="str">
        <f t="shared" si="23"/>
        <v/>
      </c>
    </row>
    <row r="146" spans="1:16" x14ac:dyDescent="0.3">
      <c r="A146" s="1">
        <v>1144</v>
      </c>
      <c r="B146" s="2">
        <v>41409.20992208118</v>
      </c>
      <c r="C146" s="1">
        <v>8</v>
      </c>
      <c r="D146" s="1">
        <v>488</v>
      </c>
      <c r="E146">
        <f t="shared" si="17"/>
        <v>1</v>
      </c>
      <c r="F146" s="13">
        <f t="shared" si="18"/>
        <v>1</v>
      </c>
      <c r="G146" s="13">
        <f t="shared" si="19"/>
        <v>1</v>
      </c>
      <c r="H146" s="15" t="str">
        <f t="shared" si="20"/>
        <v/>
      </c>
      <c r="I146" s="14" t="str">
        <f t="shared" si="21"/>
        <v/>
      </c>
      <c r="J146" s="16" t="str">
        <f t="shared" si="22"/>
        <v/>
      </c>
      <c r="P146" t="str">
        <f t="shared" si="23"/>
        <v/>
      </c>
    </row>
    <row r="147" spans="1:16" x14ac:dyDescent="0.3">
      <c r="A147" s="1">
        <v>1145</v>
      </c>
      <c r="B147" s="2">
        <v>41323.194879804498</v>
      </c>
      <c r="C147" s="1">
        <v>3</v>
      </c>
      <c r="D147" s="1">
        <v>117</v>
      </c>
      <c r="E147">
        <f t="shared" si="17"/>
        <v>1</v>
      </c>
      <c r="F147" s="13">
        <f t="shared" si="18"/>
        <v>3</v>
      </c>
      <c r="G147" s="13">
        <f t="shared" si="19"/>
        <v>4</v>
      </c>
      <c r="H147" s="15" t="str">
        <f t="shared" si="20"/>
        <v/>
      </c>
      <c r="I147" s="14" t="str">
        <f t="shared" si="21"/>
        <v/>
      </c>
      <c r="J147" s="16" t="str">
        <f t="shared" si="22"/>
        <v/>
      </c>
      <c r="P147" t="str">
        <f t="shared" si="23"/>
        <v/>
      </c>
    </row>
    <row r="148" spans="1:16" x14ac:dyDescent="0.3">
      <c r="A148" s="1">
        <v>1146</v>
      </c>
      <c r="B148" s="2">
        <v>41274.761833719014</v>
      </c>
      <c r="C148" s="1">
        <v>5</v>
      </c>
      <c r="D148" s="1">
        <v>355</v>
      </c>
      <c r="E148">
        <f t="shared" si="17"/>
        <v>2</v>
      </c>
      <c r="F148" s="13">
        <f t="shared" si="18"/>
        <v>2</v>
      </c>
      <c r="G148" s="13">
        <f t="shared" si="19"/>
        <v>2</v>
      </c>
      <c r="H148" s="15" t="str">
        <f t="shared" si="20"/>
        <v/>
      </c>
      <c r="I148" s="14" t="str">
        <f t="shared" si="21"/>
        <v/>
      </c>
      <c r="J148" s="16" t="str">
        <f t="shared" si="22"/>
        <v/>
      </c>
      <c r="P148" t="str">
        <f t="shared" si="23"/>
        <v/>
      </c>
    </row>
    <row r="149" spans="1:16" x14ac:dyDescent="0.3">
      <c r="A149" s="1">
        <v>1147</v>
      </c>
      <c r="B149" s="2">
        <v>41320.309582394919</v>
      </c>
      <c r="C149" s="1">
        <v>4</v>
      </c>
      <c r="D149" s="1">
        <v>220</v>
      </c>
      <c r="E149">
        <f t="shared" si="17"/>
        <v>1</v>
      </c>
      <c r="F149" s="13">
        <f t="shared" si="18"/>
        <v>2</v>
      </c>
      <c r="G149" s="13">
        <f t="shared" si="19"/>
        <v>2</v>
      </c>
      <c r="H149" s="15" t="str">
        <f t="shared" si="20"/>
        <v/>
      </c>
      <c r="I149" s="14" t="str">
        <f t="shared" si="21"/>
        <v/>
      </c>
      <c r="J149" s="16" t="str">
        <f t="shared" si="22"/>
        <v/>
      </c>
      <c r="P149" t="str">
        <f t="shared" si="23"/>
        <v/>
      </c>
    </row>
    <row r="150" spans="1:16" x14ac:dyDescent="0.3">
      <c r="A150" s="1">
        <v>1148</v>
      </c>
      <c r="B150" s="2">
        <v>41174.7210972213</v>
      </c>
      <c r="C150" s="1">
        <v>8</v>
      </c>
      <c r="D150" s="1">
        <v>456</v>
      </c>
      <c r="E150">
        <f t="shared" si="17"/>
        <v>4</v>
      </c>
      <c r="F150" s="13">
        <f t="shared" si="18"/>
        <v>1</v>
      </c>
      <c r="G150" s="13">
        <f t="shared" si="19"/>
        <v>1</v>
      </c>
      <c r="H150" s="15" t="str">
        <f t="shared" si="20"/>
        <v/>
      </c>
      <c r="I150" s="14" t="str">
        <f t="shared" si="21"/>
        <v/>
      </c>
      <c r="J150" s="16" t="str">
        <f t="shared" si="22"/>
        <v>Contact</v>
      </c>
      <c r="P150" t="str">
        <f t="shared" si="23"/>
        <v>Contact</v>
      </c>
    </row>
    <row r="151" spans="1:16" x14ac:dyDescent="0.3">
      <c r="A151" s="1">
        <v>1149</v>
      </c>
      <c r="B151" s="2">
        <v>41386.79910461024</v>
      </c>
      <c r="C151" s="1">
        <v>4</v>
      </c>
      <c r="D151" s="1">
        <v>340</v>
      </c>
      <c r="E151">
        <f t="shared" si="17"/>
        <v>1</v>
      </c>
      <c r="F151" s="13">
        <f t="shared" si="18"/>
        <v>2</v>
      </c>
      <c r="G151" s="13">
        <f t="shared" si="19"/>
        <v>2</v>
      </c>
      <c r="H151" s="15" t="str">
        <f t="shared" si="20"/>
        <v/>
      </c>
      <c r="I151" s="14" t="str">
        <f t="shared" si="21"/>
        <v/>
      </c>
      <c r="J151" s="16" t="str">
        <f t="shared" si="22"/>
        <v/>
      </c>
      <c r="P151" t="str">
        <f t="shared" si="23"/>
        <v/>
      </c>
    </row>
    <row r="152" spans="1:16" x14ac:dyDescent="0.3">
      <c r="A152" s="1">
        <v>1150</v>
      </c>
      <c r="B152" s="2">
        <v>41314.85949331236</v>
      </c>
      <c r="C152" s="1">
        <v>7</v>
      </c>
      <c r="D152" s="1">
        <v>70</v>
      </c>
      <c r="E152">
        <f t="shared" si="17"/>
        <v>1</v>
      </c>
      <c r="F152" s="13">
        <f t="shared" si="18"/>
        <v>1</v>
      </c>
      <c r="G152" s="13">
        <f t="shared" si="19"/>
        <v>4</v>
      </c>
      <c r="H152" s="15" t="str">
        <f t="shared" si="20"/>
        <v/>
      </c>
      <c r="I152" s="14" t="str">
        <f t="shared" si="21"/>
        <v>Upsell</v>
      </c>
      <c r="J152" s="16" t="str">
        <f t="shared" si="22"/>
        <v/>
      </c>
      <c r="P152" t="str">
        <f t="shared" si="23"/>
        <v>Upsell</v>
      </c>
    </row>
    <row r="153" spans="1:16" x14ac:dyDescent="0.3">
      <c r="A153" s="1">
        <v>1151</v>
      </c>
      <c r="B153" s="2">
        <v>41352.218702423706</v>
      </c>
      <c r="C153" s="1">
        <v>4</v>
      </c>
      <c r="D153" s="1">
        <v>4</v>
      </c>
      <c r="E153">
        <f t="shared" si="17"/>
        <v>1</v>
      </c>
      <c r="F153" s="13">
        <f t="shared" si="18"/>
        <v>2</v>
      </c>
      <c r="G153" s="13">
        <f t="shared" si="19"/>
        <v>5</v>
      </c>
      <c r="H153" s="15" t="str">
        <f t="shared" si="20"/>
        <v/>
      </c>
      <c r="I153" s="14" t="str">
        <f t="shared" si="21"/>
        <v>Upsell</v>
      </c>
      <c r="J153" s="16" t="str">
        <f t="shared" si="22"/>
        <v/>
      </c>
      <c r="P153" t="str">
        <f t="shared" si="23"/>
        <v>Upsell</v>
      </c>
    </row>
    <row r="154" spans="1:16" x14ac:dyDescent="0.3">
      <c r="A154" s="1">
        <v>1152</v>
      </c>
      <c r="B154" s="2">
        <v>41270.564991909487</v>
      </c>
      <c r="C154" s="1">
        <v>8</v>
      </c>
      <c r="D154" s="1">
        <v>200</v>
      </c>
      <c r="E154">
        <f t="shared" si="17"/>
        <v>2</v>
      </c>
      <c r="F154" s="13">
        <f t="shared" si="18"/>
        <v>1</v>
      </c>
      <c r="G154" s="13">
        <f t="shared" si="19"/>
        <v>3</v>
      </c>
      <c r="H154" s="15" t="str">
        <f t="shared" si="20"/>
        <v/>
      </c>
      <c r="I154" s="14" t="str">
        <f t="shared" si="21"/>
        <v/>
      </c>
      <c r="J154" s="16" t="str">
        <f t="shared" si="22"/>
        <v/>
      </c>
      <c r="P154" t="str">
        <f t="shared" si="23"/>
        <v/>
      </c>
    </row>
    <row r="155" spans="1:16" x14ac:dyDescent="0.3">
      <c r="A155" s="1">
        <v>1153</v>
      </c>
      <c r="B155" s="2">
        <v>41182.867039912941</v>
      </c>
      <c r="C155" s="1">
        <v>8</v>
      </c>
      <c r="D155" s="1">
        <v>424</v>
      </c>
      <c r="E155">
        <f t="shared" si="17"/>
        <v>4</v>
      </c>
      <c r="F155" s="13">
        <f t="shared" si="18"/>
        <v>1</v>
      </c>
      <c r="G155" s="13">
        <f t="shared" si="19"/>
        <v>2</v>
      </c>
      <c r="H155" s="15" t="str">
        <f t="shared" si="20"/>
        <v/>
      </c>
      <c r="I155" s="14" t="str">
        <f t="shared" si="21"/>
        <v/>
      </c>
      <c r="J155" s="16" t="str">
        <f t="shared" si="22"/>
        <v>Contact</v>
      </c>
      <c r="P155" t="str">
        <f t="shared" si="23"/>
        <v>Contact</v>
      </c>
    </row>
    <row r="156" spans="1:16" x14ac:dyDescent="0.3">
      <c r="A156" s="1">
        <v>1154</v>
      </c>
      <c r="B156" s="2">
        <v>41267.007208734489</v>
      </c>
      <c r="C156" s="1">
        <v>6</v>
      </c>
      <c r="D156" s="1">
        <v>160</v>
      </c>
      <c r="E156">
        <f t="shared" si="17"/>
        <v>2</v>
      </c>
      <c r="F156" s="13">
        <f t="shared" si="18"/>
        <v>1</v>
      </c>
      <c r="G156" s="13">
        <f t="shared" si="19"/>
        <v>3</v>
      </c>
      <c r="H156" s="15" t="str">
        <f t="shared" si="20"/>
        <v/>
      </c>
      <c r="I156" s="14" t="str">
        <f t="shared" si="21"/>
        <v/>
      </c>
      <c r="J156" s="16" t="str">
        <f t="shared" si="22"/>
        <v/>
      </c>
      <c r="P156" t="str">
        <f t="shared" si="23"/>
        <v/>
      </c>
    </row>
    <row r="157" spans="1:16" x14ac:dyDescent="0.3">
      <c r="A157" s="1">
        <v>1155</v>
      </c>
      <c r="B157" s="2">
        <v>41312.583804752008</v>
      </c>
      <c r="C157" s="1">
        <v>5</v>
      </c>
      <c r="D157" s="1">
        <v>230</v>
      </c>
      <c r="E157">
        <f t="shared" si="17"/>
        <v>1</v>
      </c>
      <c r="F157" s="13">
        <f t="shared" si="18"/>
        <v>2</v>
      </c>
      <c r="G157" s="13">
        <f t="shared" si="19"/>
        <v>2</v>
      </c>
      <c r="H157" s="15" t="str">
        <f t="shared" si="20"/>
        <v/>
      </c>
      <c r="I157" s="14" t="str">
        <f t="shared" si="21"/>
        <v/>
      </c>
      <c r="J157" s="16" t="str">
        <f t="shared" si="22"/>
        <v/>
      </c>
      <c r="P157" t="str">
        <f t="shared" si="23"/>
        <v/>
      </c>
    </row>
    <row r="158" spans="1:16" x14ac:dyDescent="0.3">
      <c r="A158" s="1">
        <v>1156</v>
      </c>
      <c r="B158" s="2">
        <v>41199.934412620976</v>
      </c>
      <c r="C158" s="1">
        <v>2</v>
      </c>
      <c r="D158" s="1">
        <v>62</v>
      </c>
      <c r="E158">
        <f t="shared" si="17"/>
        <v>3</v>
      </c>
      <c r="F158" s="13">
        <f t="shared" si="18"/>
        <v>3</v>
      </c>
      <c r="G158" s="13">
        <f t="shared" si="19"/>
        <v>4</v>
      </c>
      <c r="H158" s="15" t="str">
        <f t="shared" si="20"/>
        <v/>
      </c>
      <c r="I158" s="14" t="str">
        <f t="shared" si="21"/>
        <v/>
      </c>
      <c r="J158" s="16" t="str">
        <f t="shared" si="22"/>
        <v/>
      </c>
      <c r="P158" t="str">
        <f t="shared" si="23"/>
        <v/>
      </c>
    </row>
    <row r="159" spans="1:16" x14ac:dyDescent="0.3">
      <c r="A159" s="1">
        <v>1157</v>
      </c>
      <c r="B159" s="2">
        <v>41379.941065133324</v>
      </c>
      <c r="C159" s="1">
        <v>2</v>
      </c>
      <c r="D159" s="1">
        <v>68</v>
      </c>
      <c r="E159">
        <f t="shared" si="17"/>
        <v>1</v>
      </c>
      <c r="F159" s="13">
        <f t="shared" si="18"/>
        <v>3</v>
      </c>
      <c r="G159" s="13">
        <f t="shared" si="19"/>
        <v>4</v>
      </c>
      <c r="H159" s="15" t="str">
        <f t="shared" si="20"/>
        <v/>
      </c>
      <c r="I159" s="14" t="str">
        <f t="shared" si="21"/>
        <v/>
      </c>
      <c r="J159" s="16" t="str">
        <f t="shared" si="22"/>
        <v/>
      </c>
      <c r="P159" t="str">
        <f t="shared" si="23"/>
        <v/>
      </c>
    </row>
    <row r="160" spans="1:16" x14ac:dyDescent="0.3">
      <c r="A160" s="1">
        <v>1158</v>
      </c>
      <c r="B160" s="2">
        <v>41146.918084191733</v>
      </c>
      <c r="C160" s="1">
        <v>1</v>
      </c>
      <c r="D160" s="1">
        <v>57</v>
      </c>
      <c r="E160">
        <f t="shared" si="17"/>
        <v>4</v>
      </c>
      <c r="F160" s="13">
        <f t="shared" si="18"/>
        <v>4</v>
      </c>
      <c r="G160" s="13">
        <f t="shared" si="19"/>
        <v>4</v>
      </c>
      <c r="H160" s="15" t="str">
        <f t="shared" si="20"/>
        <v>Ignore</v>
      </c>
      <c r="I160" s="14" t="str">
        <f t="shared" si="21"/>
        <v/>
      </c>
      <c r="J160" s="16" t="str">
        <f t="shared" si="22"/>
        <v/>
      </c>
      <c r="P160" t="str">
        <f t="shared" si="23"/>
        <v>Ignore</v>
      </c>
    </row>
    <row r="161" spans="1:16" x14ac:dyDescent="0.3">
      <c r="A161" s="1">
        <v>1159</v>
      </c>
      <c r="B161" s="2">
        <v>41159.309275408355</v>
      </c>
      <c r="C161" s="1">
        <v>8</v>
      </c>
      <c r="D161" s="1">
        <v>680</v>
      </c>
      <c r="E161">
        <f t="shared" si="17"/>
        <v>4</v>
      </c>
      <c r="F161" s="13">
        <f t="shared" si="18"/>
        <v>1</v>
      </c>
      <c r="G161" s="13">
        <f t="shared" si="19"/>
        <v>1</v>
      </c>
      <c r="H161" s="15" t="str">
        <f t="shared" si="20"/>
        <v/>
      </c>
      <c r="I161" s="14" t="str">
        <f t="shared" si="21"/>
        <v/>
      </c>
      <c r="J161" s="16" t="str">
        <f t="shared" si="22"/>
        <v>Contact</v>
      </c>
      <c r="P161" t="str">
        <f t="shared" si="23"/>
        <v>Contact</v>
      </c>
    </row>
    <row r="162" spans="1:16" x14ac:dyDescent="0.3">
      <c r="A162" s="1">
        <v>1160</v>
      </c>
      <c r="B162" s="2">
        <v>41300.064017044831</v>
      </c>
      <c r="C162" s="1">
        <v>7</v>
      </c>
      <c r="D162" s="1">
        <v>170</v>
      </c>
      <c r="E162">
        <f t="shared" si="17"/>
        <v>2</v>
      </c>
      <c r="F162" s="13">
        <f t="shared" si="18"/>
        <v>1</v>
      </c>
      <c r="G162" s="13">
        <f t="shared" si="19"/>
        <v>3</v>
      </c>
      <c r="H162" s="15" t="str">
        <f t="shared" si="20"/>
        <v/>
      </c>
      <c r="I162" s="14" t="str">
        <f t="shared" si="21"/>
        <v/>
      </c>
      <c r="J162" s="16" t="str">
        <f t="shared" si="22"/>
        <v/>
      </c>
      <c r="P162" t="str">
        <f t="shared" si="23"/>
        <v/>
      </c>
    </row>
    <row r="163" spans="1:16" x14ac:dyDescent="0.3">
      <c r="A163" s="1">
        <v>1161</v>
      </c>
      <c r="B163" s="2">
        <v>41271.274160272376</v>
      </c>
      <c r="C163" s="1">
        <v>2</v>
      </c>
      <c r="D163" s="1">
        <v>128</v>
      </c>
      <c r="E163">
        <f t="shared" si="17"/>
        <v>2</v>
      </c>
      <c r="F163" s="13">
        <f t="shared" si="18"/>
        <v>3</v>
      </c>
      <c r="G163" s="13">
        <f t="shared" si="19"/>
        <v>4</v>
      </c>
      <c r="H163" s="15" t="str">
        <f t="shared" si="20"/>
        <v/>
      </c>
      <c r="I163" s="14" t="str">
        <f t="shared" si="21"/>
        <v/>
      </c>
      <c r="J163" s="16" t="str">
        <f t="shared" si="22"/>
        <v/>
      </c>
      <c r="P163" t="str">
        <f t="shared" si="23"/>
        <v/>
      </c>
    </row>
    <row r="164" spans="1:16" x14ac:dyDescent="0.3">
      <c r="A164" s="1">
        <v>1162</v>
      </c>
      <c r="B164" s="2">
        <v>41297.819452489253</v>
      </c>
      <c r="C164" s="1">
        <v>6</v>
      </c>
      <c r="D164" s="1">
        <v>12</v>
      </c>
      <c r="E164">
        <f t="shared" si="17"/>
        <v>2</v>
      </c>
      <c r="F164" s="13">
        <f t="shared" si="18"/>
        <v>1</v>
      </c>
      <c r="G164" s="13">
        <f t="shared" si="19"/>
        <v>5</v>
      </c>
      <c r="H164" s="15" t="str">
        <f t="shared" si="20"/>
        <v/>
      </c>
      <c r="I164" s="14" t="str">
        <f t="shared" si="21"/>
        <v>Upsell</v>
      </c>
      <c r="J164" s="16" t="str">
        <f t="shared" si="22"/>
        <v/>
      </c>
      <c r="P164" t="str">
        <f t="shared" si="23"/>
        <v>Upsell</v>
      </c>
    </row>
    <row r="165" spans="1:16" x14ac:dyDescent="0.3">
      <c r="A165" s="1">
        <v>1163</v>
      </c>
      <c r="B165" s="2">
        <v>41352.673467819455</v>
      </c>
      <c r="C165" s="1">
        <v>8</v>
      </c>
      <c r="D165" s="1">
        <v>544</v>
      </c>
      <c r="E165">
        <f t="shared" si="17"/>
        <v>1</v>
      </c>
      <c r="F165" s="13">
        <f t="shared" si="18"/>
        <v>1</v>
      </c>
      <c r="G165" s="13">
        <f t="shared" si="19"/>
        <v>1</v>
      </c>
      <c r="H165" s="15" t="str">
        <f t="shared" si="20"/>
        <v/>
      </c>
      <c r="I165" s="14" t="str">
        <f t="shared" si="21"/>
        <v/>
      </c>
      <c r="J165" s="16" t="str">
        <f t="shared" si="22"/>
        <v/>
      </c>
      <c r="P165" t="str">
        <f t="shared" si="23"/>
        <v/>
      </c>
    </row>
    <row r="166" spans="1:16" x14ac:dyDescent="0.3">
      <c r="A166" s="1">
        <v>1164</v>
      </c>
      <c r="B166" s="2">
        <v>41354.668681450392</v>
      </c>
      <c r="C166" s="1">
        <v>1</v>
      </c>
      <c r="D166" s="1">
        <v>38</v>
      </c>
      <c r="E166">
        <f t="shared" si="17"/>
        <v>1</v>
      </c>
      <c r="F166" s="13">
        <f t="shared" si="18"/>
        <v>4</v>
      </c>
      <c r="G166" s="13">
        <f t="shared" si="19"/>
        <v>5</v>
      </c>
      <c r="H166" s="15" t="str">
        <f t="shared" si="20"/>
        <v/>
      </c>
      <c r="I166" s="14" t="str">
        <f t="shared" si="21"/>
        <v/>
      </c>
      <c r="J166" s="16" t="str">
        <f t="shared" si="22"/>
        <v/>
      </c>
      <c r="P166" t="str">
        <f t="shared" si="23"/>
        <v/>
      </c>
    </row>
    <row r="167" spans="1:16" x14ac:dyDescent="0.3">
      <c r="A167" s="1">
        <v>1165</v>
      </c>
      <c r="B167" s="2">
        <v>41398.203496854643</v>
      </c>
      <c r="C167" s="1">
        <v>8</v>
      </c>
      <c r="D167" s="1">
        <v>180</v>
      </c>
      <c r="E167">
        <f t="shared" si="17"/>
        <v>1</v>
      </c>
      <c r="F167" s="13">
        <f t="shared" si="18"/>
        <v>1</v>
      </c>
      <c r="G167" s="13">
        <f t="shared" si="19"/>
        <v>3</v>
      </c>
      <c r="H167" s="15" t="str">
        <f t="shared" si="20"/>
        <v/>
      </c>
      <c r="I167" s="14" t="str">
        <f t="shared" si="21"/>
        <v/>
      </c>
      <c r="J167" s="16" t="str">
        <f t="shared" si="22"/>
        <v/>
      </c>
      <c r="P167" t="str">
        <f t="shared" si="23"/>
        <v/>
      </c>
    </row>
    <row r="168" spans="1:16" x14ac:dyDescent="0.3">
      <c r="A168" s="1">
        <v>1166</v>
      </c>
      <c r="B168" s="2">
        <v>41390.885175291623</v>
      </c>
      <c r="C168" s="1">
        <v>9</v>
      </c>
      <c r="D168" s="1">
        <v>190</v>
      </c>
      <c r="E168">
        <f t="shared" si="17"/>
        <v>1</v>
      </c>
      <c r="F168" s="13">
        <f t="shared" si="18"/>
        <v>1</v>
      </c>
      <c r="G168" s="13">
        <f t="shared" si="19"/>
        <v>3</v>
      </c>
      <c r="H168" s="15" t="str">
        <f t="shared" si="20"/>
        <v/>
      </c>
      <c r="I168" s="14" t="str">
        <f t="shared" si="21"/>
        <v/>
      </c>
      <c r="J168" s="16" t="str">
        <f t="shared" si="22"/>
        <v/>
      </c>
      <c r="P168" t="str">
        <f t="shared" si="23"/>
        <v/>
      </c>
    </row>
    <row r="169" spans="1:16" x14ac:dyDescent="0.3">
      <c r="A169" s="1">
        <v>1167</v>
      </c>
      <c r="B169" s="2">
        <v>41309.427397565378</v>
      </c>
      <c r="C169" s="1">
        <v>10</v>
      </c>
      <c r="D169" s="1">
        <v>200</v>
      </c>
      <c r="E169">
        <f t="shared" si="17"/>
        <v>1</v>
      </c>
      <c r="F169" s="13">
        <f t="shared" si="18"/>
        <v>1</v>
      </c>
      <c r="G169" s="13">
        <f t="shared" si="19"/>
        <v>3</v>
      </c>
      <c r="H169" s="15" t="str">
        <f t="shared" si="20"/>
        <v/>
      </c>
      <c r="I169" s="14" t="str">
        <f t="shared" si="21"/>
        <v/>
      </c>
      <c r="J169" s="16" t="str">
        <f t="shared" si="22"/>
        <v/>
      </c>
      <c r="P169" t="str">
        <f t="shared" si="23"/>
        <v/>
      </c>
    </row>
    <row r="170" spans="1:16" x14ac:dyDescent="0.3">
      <c r="A170" s="1">
        <v>1168</v>
      </c>
      <c r="B170" s="2">
        <v>41226.896493875487</v>
      </c>
      <c r="C170" s="1">
        <v>7</v>
      </c>
      <c r="D170" s="1">
        <v>420</v>
      </c>
      <c r="E170">
        <f t="shared" si="17"/>
        <v>3</v>
      </c>
      <c r="F170" s="13">
        <f t="shared" si="18"/>
        <v>1</v>
      </c>
      <c r="G170" s="13">
        <f t="shared" si="19"/>
        <v>2</v>
      </c>
      <c r="H170" s="15" t="str">
        <f t="shared" si="20"/>
        <v/>
      </c>
      <c r="I170" s="14" t="str">
        <f t="shared" si="21"/>
        <v/>
      </c>
      <c r="J170" s="16" t="str">
        <f t="shared" si="22"/>
        <v/>
      </c>
      <c r="P170" t="str">
        <f t="shared" si="23"/>
        <v/>
      </c>
    </row>
    <row r="171" spans="1:16" x14ac:dyDescent="0.3">
      <c r="A171" s="1">
        <v>1169</v>
      </c>
      <c r="B171" s="2">
        <v>41314.863150525351</v>
      </c>
      <c r="C171" s="1">
        <v>5</v>
      </c>
      <c r="D171" s="1">
        <v>80</v>
      </c>
      <c r="E171">
        <f t="shared" si="17"/>
        <v>1</v>
      </c>
      <c r="F171" s="13">
        <f t="shared" si="18"/>
        <v>2</v>
      </c>
      <c r="G171" s="13">
        <f t="shared" si="19"/>
        <v>4</v>
      </c>
      <c r="H171" s="15" t="str">
        <f t="shared" si="20"/>
        <v/>
      </c>
      <c r="I171" s="14" t="str">
        <f t="shared" si="21"/>
        <v>Upsell</v>
      </c>
      <c r="J171" s="16" t="str">
        <f t="shared" si="22"/>
        <v/>
      </c>
      <c r="P171" t="str">
        <f t="shared" si="23"/>
        <v>Upsell</v>
      </c>
    </row>
    <row r="172" spans="1:16" x14ac:dyDescent="0.3">
      <c r="A172" s="1">
        <v>1170</v>
      </c>
      <c r="B172" s="2">
        <v>41375.448279773344</v>
      </c>
      <c r="C172" s="1">
        <v>6</v>
      </c>
      <c r="D172" s="1">
        <v>198</v>
      </c>
      <c r="E172">
        <f t="shared" si="17"/>
        <v>1</v>
      </c>
      <c r="F172" s="13">
        <f t="shared" si="18"/>
        <v>1</v>
      </c>
      <c r="G172" s="13">
        <f t="shared" si="19"/>
        <v>3</v>
      </c>
      <c r="H172" s="15" t="str">
        <f t="shared" si="20"/>
        <v/>
      </c>
      <c r="I172" s="14" t="str">
        <f t="shared" si="21"/>
        <v/>
      </c>
      <c r="J172" s="16" t="str">
        <f t="shared" si="22"/>
        <v/>
      </c>
      <c r="P172" t="str">
        <f t="shared" si="23"/>
        <v/>
      </c>
    </row>
    <row r="173" spans="1:16" x14ac:dyDescent="0.3">
      <c r="A173" s="1">
        <v>1171</v>
      </c>
      <c r="B173" s="2">
        <v>41394.444289432868</v>
      </c>
      <c r="C173" s="1">
        <v>9</v>
      </c>
      <c r="D173" s="1">
        <v>18</v>
      </c>
      <c r="E173">
        <f t="shared" si="17"/>
        <v>1</v>
      </c>
      <c r="F173" s="13">
        <f t="shared" si="18"/>
        <v>1</v>
      </c>
      <c r="G173" s="13">
        <f t="shared" si="19"/>
        <v>5</v>
      </c>
      <c r="H173" s="15" t="str">
        <f t="shared" si="20"/>
        <v/>
      </c>
      <c r="I173" s="14" t="str">
        <f t="shared" si="21"/>
        <v>Upsell</v>
      </c>
      <c r="J173" s="16" t="str">
        <f t="shared" si="22"/>
        <v/>
      </c>
      <c r="P173" t="str">
        <f t="shared" si="23"/>
        <v>Upsell</v>
      </c>
    </row>
    <row r="174" spans="1:16" x14ac:dyDescent="0.3">
      <c r="A174" s="1">
        <v>1172</v>
      </c>
      <c r="B174" s="2">
        <v>41255.172054480492</v>
      </c>
      <c r="C174" s="1">
        <v>9</v>
      </c>
      <c r="D174" s="1">
        <v>495</v>
      </c>
      <c r="E174">
        <f t="shared" si="17"/>
        <v>2</v>
      </c>
      <c r="F174" s="13">
        <f t="shared" si="18"/>
        <v>1</v>
      </c>
      <c r="G174" s="13">
        <f t="shared" si="19"/>
        <v>1</v>
      </c>
      <c r="H174" s="15" t="str">
        <f t="shared" si="20"/>
        <v/>
      </c>
      <c r="I174" s="14" t="str">
        <f t="shared" si="21"/>
        <v/>
      </c>
      <c r="J174" s="16" t="str">
        <f t="shared" si="22"/>
        <v/>
      </c>
      <c r="P174" t="str">
        <f t="shared" si="23"/>
        <v/>
      </c>
    </row>
    <row r="175" spans="1:16" x14ac:dyDescent="0.3">
      <c r="A175" s="1">
        <v>1173</v>
      </c>
      <c r="B175" s="2">
        <v>41182.616597010114</v>
      </c>
      <c r="C175" s="1">
        <v>9</v>
      </c>
      <c r="D175" s="1">
        <v>270</v>
      </c>
      <c r="E175">
        <f t="shared" si="17"/>
        <v>4</v>
      </c>
      <c r="F175" s="13">
        <f t="shared" si="18"/>
        <v>1</v>
      </c>
      <c r="G175" s="13">
        <f t="shared" si="19"/>
        <v>2</v>
      </c>
      <c r="H175" s="15" t="str">
        <f t="shared" si="20"/>
        <v/>
      </c>
      <c r="I175" s="14" t="str">
        <f t="shared" si="21"/>
        <v/>
      </c>
      <c r="J175" s="16" t="str">
        <f t="shared" si="22"/>
        <v>Contact</v>
      </c>
      <c r="P175" t="str">
        <f t="shared" si="23"/>
        <v>Contact</v>
      </c>
    </row>
    <row r="176" spans="1:16" x14ac:dyDescent="0.3">
      <c r="A176" s="1">
        <v>1174</v>
      </c>
      <c r="B176" s="2">
        <v>41385.46730665872</v>
      </c>
      <c r="C176" s="1">
        <v>4</v>
      </c>
      <c r="D176" s="1">
        <v>0</v>
      </c>
      <c r="E176">
        <f t="shared" si="17"/>
        <v>1</v>
      </c>
      <c r="F176" s="13">
        <f t="shared" si="18"/>
        <v>2</v>
      </c>
      <c r="G176" s="13">
        <f t="shared" si="19"/>
        <v>5</v>
      </c>
      <c r="H176" s="15" t="str">
        <f t="shared" si="20"/>
        <v/>
      </c>
      <c r="I176" s="14" t="str">
        <f t="shared" si="21"/>
        <v>Upsell</v>
      </c>
      <c r="J176" s="16" t="str">
        <f t="shared" si="22"/>
        <v/>
      </c>
      <c r="P176" t="str">
        <f t="shared" si="23"/>
        <v>Upsell</v>
      </c>
    </row>
    <row r="177" spans="1:16" x14ac:dyDescent="0.3">
      <c r="A177" s="1">
        <v>1175</v>
      </c>
      <c r="B177" s="2">
        <v>41274.585879284539</v>
      </c>
      <c r="C177" s="1">
        <v>4</v>
      </c>
      <c r="D177" s="1">
        <v>176</v>
      </c>
      <c r="E177">
        <f t="shared" si="17"/>
        <v>2</v>
      </c>
      <c r="F177" s="13">
        <f t="shared" si="18"/>
        <v>2</v>
      </c>
      <c r="G177" s="13">
        <f t="shared" si="19"/>
        <v>3</v>
      </c>
      <c r="H177" s="15" t="str">
        <f t="shared" si="20"/>
        <v/>
      </c>
      <c r="I177" s="14" t="str">
        <f t="shared" si="21"/>
        <v/>
      </c>
      <c r="J177" s="16" t="str">
        <f t="shared" si="22"/>
        <v/>
      </c>
      <c r="P177" t="str">
        <f t="shared" si="23"/>
        <v/>
      </c>
    </row>
    <row r="178" spans="1:16" x14ac:dyDescent="0.3">
      <c r="A178" s="1">
        <v>1176</v>
      </c>
      <c r="B178" s="2">
        <v>41355.012031313141</v>
      </c>
      <c r="C178" s="1">
        <v>5</v>
      </c>
      <c r="D178" s="1">
        <v>20</v>
      </c>
      <c r="E178">
        <f t="shared" si="17"/>
        <v>1</v>
      </c>
      <c r="F178" s="13">
        <f t="shared" si="18"/>
        <v>2</v>
      </c>
      <c r="G178" s="13">
        <f t="shared" si="19"/>
        <v>5</v>
      </c>
      <c r="H178" s="15" t="str">
        <f t="shared" si="20"/>
        <v/>
      </c>
      <c r="I178" s="14" t="str">
        <f t="shared" si="21"/>
        <v>Upsell</v>
      </c>
      <c r="J178" s="16" t="str">
        <f t="shared" si="22"/>
        <v/>
      </c>
      <c r="P178" t="str">
        <f t="shared" si="23"/>
        <v>Upsell</v>
      </c>
    </row>
    <row r="179" spans="1:16" x14ac:dyDescent="0.3">
      <c r="A179" s="1">
        <v>1177</v>
      </c>
      <c r="B179" s="2">
        <v>41333.687201739864</v>
      </c>
      <c r="C179" s="1">
        <v>5</v>
      </c>
      <c r="D179" s="1">
        <v>40</v>
      </c>
      <c r="E179">
        <f t="shared" si="17"/>
        <v>1</v>
      </c>
      <c r="F179" s="13">
        <f t="shared" si="18"/>
        <v>2</v>
      </c>
      <c r="G179" s="13">
        <f t="shared" si="19"/>
        <v>5</v>
      </c>
      <c r="H179" s="15" t="str">
        <f t="shared" si="20"/>
        <v/>
      </c>
      <c r="I179" s="14" t="str">
        <f t="shared" si="21"/>
        <v>Upsell</v>
      </c>
      <c r="J179" s="16" t="str">
        <f t="shared" si="22"/>
        <v/>
      </c>
      <c r="P179" t="str">
        <f t="shared" si="23"/>
        <v>Upsell</v>
      </c>
    </row>
    <row r="180" spans="1:16" x14ac:dyDescent="0.3">
      <c r="A180" s="1">
        <v>1178</v>
      </c>
      <c r="B180" s="2">
        <v>41171.93670496907</v>
      </c>
      <c r="C180" s="1">
        <v>6</v>
      </c>
      <c r="D180" s="1">
        <v>42</v>
      </c>
      <c r="E180">
        <f t="shared" si="17"/>
        <v>4</v>
      </c>
      <c r="F180" s="13">
        <f t="shared" si="18"/>
        <v>1</v>
      </c>
      <c r="G180" s="13">
        <f t="shared" si="19"/>
        <v>4</v>
      </c>
      <c r="H180" s="15" t="str">
        <f t="shared" si="20"/>
        <v/>
      </c>
      <c r="I180" s="14" t="str">
        <f t="shared" si="21"/>
        <v/>
      </c>
      <c r="J180" s="16" t="str">
        <f t="shared" si="22"/>
        <v/>
      </c>
      <c r="P180" t="str">
        <f t="shared" si="23"/>
        <v/>
      </c>
    </row>
    <row r="181" spans="1:16" x14ac:dyDescent="0.3">
      <c r="A181" s="1">
        <v>1179</v>
      </c>
      <c r="B181" s="2">
        <v>41303.384814265759</v>
      </c>
      <c r="C181" s="1">
        <v>4</v>
      </c>
      <c r="D181" s="1">
        <v>168</v>
      </c>
      <c r="E181">
        <f t="shared" si="17"/>
        <v>2</v>
      </c>
      <c r="F181" s="13">
        <f t="shared" si="18"/>
        <v>2</v>
      </c>
      <c r="G181" s="13">
        <f t="shared" si="19"/>
        <v>3</v>
      </c>
      <c r="H181" s="15" t="str">
        <f t="shared" si="20"/>
        <v/>
      </c>
      <c r="I181" s="14" t="str">
        <f t="shared" si="21"/>
        <v/>
      </c>
      <c r="J181" s="16" t="str">
        <f t="shared" si="22"/>
        <v/>
      </c>
      <c r="P181" t="str">
        <f t="shared" si="23"/>
        <v/>
      </c>
    </row>
    <row r="182" spans="1:16" x14ac:dyDescent="0.3">
      <c r="A182" s="1">
        <v>1180</v>
      </c>
      <c r="B182" s="2">
        <v>41424.301709578205</v>
      </c>
      <c r="C182" s="1">
        <v>9</v>
      </c>
      <c r="D182" s="1">
        <v>837</v>
      </c>
      <c r="E182">
        <f t="shared" si="17"/>
        <v>1</v>
      </c>
      <c r="F182" s="13">
        <f t="shared" si="18"/>
        <v>1</v>
      </c>
      <c r="G182" s="13">
        <f t="shared" si="19"/>
        <v>1</v>
      </c>
      <c r="H182" s="15" t="str">
        <f t="shared" si="20"/>
        <v/>
      </c>
      <c r="I182" s="14" t="str">
        <f t="shared" si="21"/>
        <v/>
      </c>
      <c r="J182" s="16" t="str">
        <f t="shared" si="22"/>
        <v/>
      </c>
      <c r="P182" t="str">
        <f t="shared" si="23"/>
        <v/>
      </c>
    </row>
    <row r="183" spans="1:16" x14ac:dyDescent="0.3">
      <c r="A183" s="1">
        <v>1181</v>
      </c>
      <c r="B183" s="2">
        <v>41132.763244648871</v>
      </c>
      <c r="C183" s="1">
        <v>4</v>
      </c>
      <c r="D183" s="1">
        <v>52</v>
      </c>
      <c r="E183">
        <f t="shared" si="17"/>
        <v>4</v>
      </c>
      <c r="F183" s="13">
        <f t="shared" si="18"/>
        <v>2</v>
      </c>
      <c r="G183" s="13">
        <f t="shared" si="19"/>
        <v>4</v>
      </c>
      <c r="H183" s="15" t="str">
        <f t="shared" si="20"/>
        <v/>
      </c>
      <c r="I183" s="14" t="str">
        <f t="shared" si="21"/>
        <v/>
      </c>
      <c r="J183" s="16" t="str">
        <f t="shared" si="22"/>
        <v/>
      </c>
      <c r="P183" t="str">
        <f t="shared" si="23"/>
        <v/>
      </c>
    </row>
    <row r="184" spans="1:16" x14ac:dyDescent="0.3">
      <c r="A184" s="1">
        <v>1182</v>
      </c>
      <c r="B184" s="2">
        <v>41284.932224228993</v>
      </c>
      <c r="C184" s="1">
        <v>9</v>
      </c>
      <c r="D184" s="1">
        <v>855</v>
      </c>
      <c r="E184">
        <f t="shared" si="17"/>
        <v>2</v>
      </c>
      <c r="F184" s="13">
        <f t="shared" si="18"/>
        <v>1</v>
      </c>
      <c r="G184" s="13">
        <f t="shared" si="19"/>
        <v>1</v>
      </c>
      <c r="H184" s="15" t="str">
        <f t="shared" si="20"/>
        <v/>
      </c>
      <c r="I184" s="14" t="str">
        <f t="shared" si="21"/>
        <v/>
      </c>
      <c r="J184" s="16" t="str">
        <f t="shared" si="22"/>
        <v/>
      </c>
      <c r="P184" t="str">
        <f t="shared" si="23"/>
        <v/>
      </c>
    </row>
    <row r="185" spans="1:16" x14ac:dyDescent="0.3">
      <c r="A185" s="1">
        <v>1183</v>
      </c>
      <c r="B185" s="2">
        <v>41379.682764771838</v>
      </c>
      <c r="C185" s="1">
        <v>1</v>
      </c>
      <c r="D185" s="1">
        <v>58</v>
      </c>
      <c r="E185">
        <f t="shared" si="17"/>
        <v>1</v>
      </c>
      <c r="F185" s="13">
        <f t="shared" si="18"/>
        <v>4</v>
      </c>
      <c r="G185" s="13">
        <f t="shared" si="19"/>
        <v>4</v>
      </c>
      <c r="H185" s="15" t="str">
        <f t="shared" si="20"/>
        <v/>
      </c>
      <c r="I185" s="14" t="str">
        <f t="shared" si="21"/>
        <v/>
      </c>
      <c r="J185" s="16" t="str">
        <f t="shared" si="22"/>
        <v/>
      </c>
      <c r="P185" t="str">
        <f t="shared" si="23"/>
        <v/>
      </c>
    </row>
    <row r="186" spans="1:16" x14ac:dyDescent="0.3">
      <c r="A186" s="1">
        <v>1184</v>
      </c>
      <c r="B186" s="2">
        <v>41380.216402568854</v>
      </c>
      <c r="C186" s="1">
        <v>1</v>
      </c>
      <c r="D186" s="1">
        <v>17</v>
      </c>
      <c r="E186">
        <f t="shared" si="17"/>
        <v>1</v>
      </c>
      <c r="F186" s="13">
        <f t="shared" si="18"/>
        <v>4</v>
      </c>
      <c r="G186" s="13">
        <f t="shared" si="19"/>
        <v>5</v>
      </c>
      <c r="H186" s="15" t="str">
        <f t="shared" si="20"/>
        <v/>
      </c>
      <c r="I186" s="14" t="str">
        <f t="shared" si="21"/>
        <v/>
      </c>
      <c r="J186" s="16" t="str">
        <f t="shared" si="22"/>
        <v/>
      </c>
      <c r="P186" t="str">
        <f t="shared" si="23"/>
        <v/>
      </c>
    </row>
    <row r="187" spans="1:16" x14ac:dyDescent="0.3">
      <c r="A187" s="1">
        <v>1185</v>
      </c>
      <c r="B187" s="2">
        <v>41238.828794272733</v>
      </c>
      <c r="C187" s="1">
        <v>3</v>
      </c>
      <c r="D187" s="1">
        <v>24</v>
      </c>
      <c r="E187">
        <f t="shared" si="17"/>
        <v>3</v>
      </c>
      <c r="F187" s="13">
        <f t="shared" si="18"/>
        <v>3</v>
      </c>
      <c r="G187" s="13">
        <f t="shared" si="19"/>
        <v>5</v>
      </c>
      <c r="H187" s="15" t="str">
        <f t="shared" si="20"/>
        <v/>
      </c>
      <c r="I187" s="14" t="str">
        <f t="shared" si="21"/>
        <v/>
      </c>
      <c r="J187" s="16" t="str">
        <f t="shared" si="22"/>
        <v/>
      </c>
      <c r="P187" t="str">
        <f t="shared" si="23"/>
        <v/>
      </c>
    </row>
    <row r="188" spans="1:16" x14ac:dyDescent="0.3">
      <c r="A188" s="1">
        <v>1186</v>
      </c>
      <c r="B188" s="2">
        <v>41202.429587803977</v>
      </c>
      <c r="C188" s="1">
        <v>6</v>
      </c>
      <c r="D188" s="1">
        <v>456</v>
      </c>
      <c r="E188">
        <f t="shared" si="17"/>
        <v>3</v>
      </c>
      <c r="F188" s="13">
        <f t="shared" si="18"/>
        <v>1</v>
      </c>
      <c r="G188" s="13">
        <f t="shared" si="19"/>
        <v>1</v>
      </c>
      <c r="H188" s="15" t="str">
        <f t="shared" si="20"/>
        <v/>
      </c>
      <c r="I188" s="14" t="str">
        <f t="shared" si="21"/>
        <v/>
      </c>
      <c r="J188" s="16" t="str">
        <f t="shared" si="22"/>
        <v/>
      </c>
      <c r="P188" t="str">
        <f t="shared" si="23"/>
        <v/>
      </c>
    </row>
    <row r="189" spans="1:16" x14ac:dyDescent="0.3">
      <c r="A189" s="1">
        <v>1187</v>
      </c>
      <c r="B189" s="2">
        <v>41327.760253120832</v>
      </c>
      <c r="C189" s="1">
        <v>3</v>
      </c>
      <c r="D189" s="1">
        <v>69</v>
      </c>
      <c r="E189">
        <f t="shared" si="17"/>
        <v>1</v>
      </c>
      <c r="F189" s="13">
        <f t="shared" si="18"/>
        <v>3</v>
      </c>
      <c r="G189" s="13">
        <f t="shared" si="19"/>
        <v>4</v>
      </c>
      <c r="H189" s="15" t="str">
        <f t="shared" si="20"/>
        <v/>
      </c>
      <c r="I189" s="14" t="str">
        <f t="shared" si="21"/>
        <v/>
      </c>
      <c r="J189" s="16" t="str">
        <f t="shared" si="22"/>
        <v/>
      </c>
      <c r="P189" t="str">
        <f t="shared" si="23"/>
        <v/>
      </c>
    </row>
    <row r="190" spans="1:16" x14ac:dyDescent="0.3">
      <c r="A190" s="1">
        <v>1188</v>
      </c>
      <c r="B190" s="2">
        <v>41368.320386477011</v>
      </c>
      <c r="C190" s="1">
        <v>5</v>
      </c>
      <c r="D190" s="1">
        <v>435</v>
      </c>
      <c r="E190">
        <f t="shared" si="17"/>
        <v>1</v>
      </c>
      <c r="F190" s="13">
        <f t="shared" si="18"/>
        <v>2</v>
      </c>
      <c r="G190" s="13">
        <f t="shared" si="19"/>
        <v>1</v>
      </c>
      <c r="H190" s="15" t="str">
        <f t="shared" si="20"/>
        <v/>
      </c>
      <c r="I190" s="14" t="str">
        <f t="shared" si="21"/>
        <v/>
      </c>
      <c r="J190" s="16" t="str">
        <f t="shared" si="22"/>
        <v/>
      </c>
      <c r="P190" t="str">
        <f t="shared" si="23"/>
        <v/>
      </c>
    </row>
    <row r="191" spans="1:16" x14ac:dyDescent="0.3">
      <c r="A191" s="1">
        <v>1189</v>
      </c>
      <c r="B191" s="2">
        <v>41157.883931823482</v>
      </c>
      <c r="C191" s="1">
        <v>5</v>
      </c>
      <c r="D191" s="1">
        <v>230</v>
      </c>
      <c r="E191">
        <f t="shared" si="17"/>
        <v>4</v>
      </c>
      <c r="F191" s="13">
        <f t="shared" si="18"/>
        <v>2</v>
      </c>
      <c r="G191" s="13">
        <f t="shared" si="19"/>
        <v>2</v>
      </c>
      <c r="H191" s="15" t="str">
        <f t="shared" si="20"/>
        <v/>
      </c>
      <c r="I191" s="14" t="str">
        <f t="shared" si="21"/>
        <v/>
      </c>
      <c r="J191" s="16" t="str">
        <f t="shared" si="22"/>
        <v>Contact</v>
      </c>
      <c r="P191" t="str">
        <f t="shared" si="23"/>
        <v>Contact</v>
      </c>
    </row>
    <row r="192" spans="1:16" x14ac:dyDescent="0.3">
      <c r="A192" s="1">
        <v>1190</v>
      </c>
      <c r="B192" s="2">
        <v>41212.329586421678</v>
      </c>
      <c r="C192" s="1">
        <v>0</v>
      </c>
      <c r="D192" s="1">
        <v>0</v>
      </c>
      <c r="E192">
        <f t="shared" si="17"/>
        <v>3</v>
      </c>
      <c r="F192" s="13">
        <f t="shared" si="18"/>
        <v>4</v>
      </c>
      <c r="G192" s="13">
        <f t="shared" si="19"/>
        <v>5</v>
      </c>
      <c r="H192" s="15" t="str">
        <f t="shared" si="20"/>
        <v/>
      </c>
      <c r="I192" s="14" t="str">
        <f t="shared" si="21"/>
        <v/>
      </c>
      <c r="J192" s="16" t="str">
        <f t="shared" si="22"/>
        <v/>
      </c>
      <c r="P192" t="str">
        <f t="shared" si="23"/>
        <v/>
      </c>
    </row>
    <row r="193" spans="1:16" x14ac:dyDescent="0.3">
      <c r="A193" s="1">
        <v>1191</v>
      </c>
      <c r="B193" s="2">
        <v>41321.911410323024</v>
      </c>
      <c r="C193" s="1">
        <v>2</v>
      </c>
      <c r="D193" s="1">
        <v>4</v>
      </c>
      <c r="E193">
        <f t="shared" si="17"/>
        <v>1</v>
      </c>
      <c r="F193" s="13">
        <f t="shared" si="18"/>
        <v>3</v>
      </c>
      <c r="G193" s="13">
        <f t="shared" si="19"/>
        <v>5</v>
      </c>
      <c r="H193" s="15" t="str">
        <f t="shared" si="20"/>
        <v/>
      </c>
      <c r="I193" s="14" t="str">
        <f t="shared" si="21"/>
        <v/>
      </c>
      <c r="J193" s="16" t="str">
        <f t="shared" si="22"/>
        <v/>
      </c>
      <c r="P193" t="str">
        <f t="shared" si="23"/>
        <v/>
      </c>
    </row>
    <row r="194" spans="1:16" x14ac:dyDescent="0.3">
      <c r="A194" s="1">
        <v>1192</v>
      </c>
      <c r="B194" s="2">
        <v>41196.4872737607</v>
      </c>
      <c r="C194" s="1">
        <v>1</v>
      </c>
      <c r="D194" s="1">
        <v>31</v>
      </c>
      <c r="E194">
        <f t="shared" si="17"/>
        <v>3</v>
      </c>
      <c r="F194" s="13">
        <f t="shared" si="18"/>
        <v>4</v>
      </c>
      <c r="G194" s="13">
        <f t="shared" si="19"/>
        <v>5</v>
      </c>
      <c r="H194" s="15" t="str">
        <f t="shared" si="20"/>
        <v/>
      </c>
      <c r="I194" s="14" t="str">
        <f t="shared" si="21"/>
        <v/>
      </c>
      <c r="J194" s="16" t="str">
        <f t="shared" si="22"/>
        <v/>
      </c>
      <c r="P194" t="str">
        <f t="shared" si="23"/>
        <v/>
      </c>
    </row>
    <row r="195" spans="1:16" x14ac:dyDescent="0.3">
      <c r="A195" s="1">
        <v>1193</v>
      </c>
      <c r="B195" s="2">
        <v>41214.128230137234</v>
      </c>
      <c r="C195" s="1">
        <v>8</v>
      </c>
      <c r="D195" s="1">
        <v>72</v>
      </c>
      <c r="E195">
        <f t="shared" ref="E195:E258" si="24">VLOOKUP(B195,$M$2:$N$6,2,TRUE)</f>
        <v>3</v>
      </c>
      <c r="F195" s="13">
        <f t="shared" ref="F195:F258" si="25">VLOOKUP(C195,$M$9:$N$13,2,TRUE)</f>
        <v>1</v>
      </c>
      <c r="G195" s="13">
        <f t="shared" ref="G195:G258" si="26">VLOOKUP(D195,$M$16:$N$20,2,TRUE)</f>
        <v>4</v>
      </c>
      <c r="H195" s="15" t="str">
        <f t="shared" ref="H195:H258" si="27">IF(AND(E195&gt;3,F195&gt;3,G195&gt;3),"Ignore","")</f>
        <v/>
      </c>
      <c r="I195" s="14" t="str">
        <f t="shared" ref="I195:I258" si="28">IF(AND(E195&lt;3,F195&lt;3,G195&gt;3),"Upsell","")</f>
        <v/>
      </c>
      <c r="J195" s="16" t="str">
        <f t="shared" ref="J195:J258" si="29">IF(AND(E195&gt;3,F195&lt;3,G195&lt;3),"Contact","")</f>
        <v/>
      </c>
      <c r="P195" t="str">
        <f t="shared" ref="P195:P258" si="30">IF(H195&lt;&gt;"","Ignore", IF(I195&lt;&gt;"","Upsell", IF(J195&lt;&gt;"","Contact","")))</f>
        <v/>
      </c>
    </row>
    <row r="196" spans="1:16" x14ac:dyDescent="0.3">
      <c r="A196" s="1">
        <v>1194</v>
      </c>
      <c r="B196" s="2">
        <v>41398.278279906321</v>
      </c>
      <c r="C196" s="1">
        <v>7</v>
      </c>
      <c r="D196" s="1">
        <v>301</v>
      </c>
      <c r="E196">
        <f t="shared" si="24"/>
        <v>1</v>
      </c>
      <c r="F196" s="13">
        <f t="shared" si="25"/>
        <v>1</v>
      </c>
      <c r="G196" s="13">
        <f t="shared" si="26"/>
        <v>2</v>
      </c>
      <c r="H196" s="15" t="str">
        <f t="shared" si="27"/>
        <v/>
      </c>
      <c r="I196" s="14" t="str">
        <f t="shared" si="28"/>
        <v/>
      </c>
      <c r="J196" s="16" t="str">
        <f t="shared" si="29"/>
        <v/>
      </c>
      <c r="P196" t="str">
        <f t="shared" si="30"/>
        <v/>
      </c>
    </row>
    <row r="197" spans="1:16" x14ac:dyDescent="0.3">
      <c r="A197" s="1">
        <v>1195</v>
      </c>
      <c r="B197" s="2">
        <v>41226.151270859838</v>
      </c>
      <c r="C197" s="1">
        <v>2</v>
      </c>
      <c r="D197" s="1">
        <v>130</v>
      </c>
      <c r="E197">
        <f t="shared" si="24"/>
        <v>3</v>
      </c>
      <c r="F197" s="13">
        <f t="shared" si="25"/>
        <v>3</v>
      </c>
      <c r="G197" s="13">
        <f t="shared" si="26"/>
        <v>4</v>
      </c>
      <c r="H197" s="15" t="str">
        <f t="shared" si="27"/>
        <v/>
      </c>
      <c r="I197" s="14" t="str">
        <f t="shared" si="28"/>
        <v/>
      </c>
      <c r="J197" s="16" t="str">
        <f t="shared" si="29"/>
        <v/>
      </c>
      <c r="P197" t="str">
        <f t="shared" si="30"/>
        <v/>
      </c>
    </row>
    <row r="198" spans="1:16" x14ac:dyDescent="0.3">
      <c r="A198" s="1">
        <v>1196</v>
      </c>
      <c r="B198" s="2">
        <v>41154.802153266319</v>
      </c>
      <c r="C198" s="1">
        <v>3</v>
      </c>
      <c r="D198" s="1">
        <v>252</v>
      </c>
      <c r="E198">
        <f t="shared" si="24"/>
        <v>4</v>
      </c>
      <c r="F198" s="13">
        <f t="shared" si="25"/>
        <v>3</v>
      </c>
      <c r="G198" s="13">
        <f t="shared" si="26"/>
        <v>2</v>
      </c>
      <c r="H198" s="15" t="str">
        <f t="shared" si="27"/>
        <v/>
      </c>
      <c r="I198" s="14" t="str">
        <f t="shared" si="28"/>
        <v/>
      </c>
      <c r="J198" s="16" t="str">
        <f t="shared" si="29"/>
        <v/>
      </c>
      <c r="P198" t="str">
        <f t="shared" si="30"/>
        <v/>
      </c>
    </row>
    <row r="199" spans="1:16" x14ac:dyDescent="0.3">
      <c r="A199" s="1">
        <v>1197</v>
      </c>
      <c r="B199" s="2">
        <v>41127.5430352845</v>
      </c>
      <c r="C199" s="1">
        <v>8</v>
      </c>
      <c r="D199" s="1">
        <v>184</v>
      </c>
      <c r="E199">
        <f t="shared" si="24"/>
        <v>4</v>
      </c>
      <c r="F199" s="13">
        <f t="shared" si="25"/>
        <v>1</v>
      </c>
      <c r="G199" s="13">
        <f t="shared" si="26"/>
        <v>3</v>
      </c>
      <c r="H199" s="15" t="str">
        <f t="shared" si="27"/>
        <v/>
      </c>
      <c r="I199" s="14" t="str">
        <f t="shared" si="28"/>
        <v/>
      </c>
      <c r="J199" s="16" t="str">
        <f t="shared" si="29"/>
        <v/>
      </c>
      <c r="P199" t="str">
        <f t="shared" si="30"/>
        <v/>
      </c>
    </row>
    <row r="200" spans="1:16" x14ac:dyDescent="0.3">
      <c r="A200" s="1">
        <v>1198</v>
      </c>
      <c r="B200" s="2">
        <v>41314.227994103392</v>
      </c>
      <c r="C200" s="1">
        <v>0</v>
      </c>
      <c r="D200" s="1">
        <v>0</v>
      </c>
      <c r="E200">
        <f t="shared" si="24"/>
        <v>1</v>
      </c>
      <c r="F200" s="13">
        <f t="shared" si="25"/>
        <v>4</v>
      </c>
      <c r="G200" s="13">
        <f t="shared" si="26"/>
        <v>5</v>
      </c>
      <c r="H200" s="15" t="str">
        <f t="shared" si="27"/>
        <v/>
      </c>
      <c r="I200" s="14" t="str">
        <f t="shared" si="28"/>
        <v/>
      </c>
      <c r="J200" s="16" t="str">
        <f t="shared" si="29"/>
        <v/>
      </c>
      <c r="P200" t="str">
        <f t="shared" si="30"/>
        <v/>
      </c>
    </row>
    <row r="201" spans="1:16" x14ac:dyDescent="0.3">
      <c r="A201" s="1">
        <v>1199</v>
      </c>
      <c r="B201" s="2">
        <v>41149.964645973458</v>
      </c>
      <c r="C201" s="1">
        <v>9</v>
      </c>
      <c r="D201" s="1">
        <v>477</v>
      </c>
      <c r="E201">
        <f t="shared" si="24"/>
        <v>4</v>
      </c>
      <c r="F201" s="13">
        <f t="shared" si="25"/>
        <v>1</v>
      </c>
      <c r="G201" s="13">
        <f t="shared" si="26"/>
        <v>1</v>
      </c>
      <c r="H201" s="15" t="str">
        <f t="shared" si="27"/>
        <v/>
      </c>
      <c r="I201" s="14" t="str">
        <f t="shared" si="28"/>
        <v/>
      </c>
      <c r="J201" s="16" t="str">
        <f t="shared" si="29"/>
        <v>Contact</v>
      </c>
      <c r="P201" t="str">
        <f t="shared" si="30"/>
        <v>Contact</v>
      </c>
    </row>
    <row r="202" spans="1:16" x14ac:dyDescent="0.3">
      <c r="A202" s="1">
        <v>1200</v>
      </c>
      <c r="B202" s="2">
        <v>41272.821196751851</v>
      </c>
      <c r="C202" s="1">
        <v>9</v>
      </c>
      <c r="D202" s="1">
        <v>711</v>
      </c>
      <c r="E202">
        <f t="shared" si="24"/>
        <v>2</v>
      </c>
      <c r="F202" s="13">
        <f t="shared" si="25"/>
        <v>1</v>
      </c>
      <c r="G202" s="13">
        <f t="shared" si="26"/>
        <v>1</v>
      </c>
      <c r="H202" s="15" t="str">
        <f t="shared" si="27"/>
        <v/>
      </c>
      <c r="I202" s="14" t="str">
        <f t="shared" si="28"/>
        <v/>
      </c>
      <c r="J202" s="16" t="str">
        <f t="shared" si="29"/>
        <v/>
      </c>
      <c r="P202" t="str">
        <f t="shared" si="30"/>
        <v/>
      </c>
    </row>
    <row r="203" spans="1:16" x14ac:dyDescent="0.3">
      <c r="A203" s="1">
        <v>1201</v>
      </c>
      <c r="B203" s="2">
        <v>41197.212508743505</v>
      </c>
      <c r="C203" s="1">
        <v>3</v>
      </c>
      <c r="D203" s="1">
        <v>258</v>
      </c>
      <c r="E203">
        <f t="shared" si="24"/>
        <v>3</v>
      </c>
      <c r="F203" s="13">
        <f t="shared" si="25"/>
        <v>3</v>
      </c>
      <c r="G203" s="13">
        <f t="shared" si="26"/>
        <v>2</v>
      </c>
      <c r="H203" s="15" t="str">
        <f t="shared" si="27"/>
        <v/>
      </c>
      <c r="I203" s="14" t="str">
        <f t="shared" si="28"/>
        <v/>
      </c>
      <c r="J203" s="16" t="str">
        <f t="shared" si="29"/>
        <v/>
      </c>
      <c r="P203" t="str">
        <f t="shared" si="30"/>
        <v/>
      </c>
    </row>
    <row r="204" spans="1:16" x14ac:dyDescent="0.3">
      <c r="A204" s="1">
        <v>1202</v>
      </c>
      <c r="B204" s="2">
        <v>41154.387148806156</v>
      </c>
      <c r="C204" s="1">
        <v>0</v>
      </c>
      <c r="D204" s="1">
        <v>0</v>
      </c>
      <c r="E204">
        <f t="shared" si="24"/>
        <v>4</v>
      </c>
      <c r="F204" s="13">
        <f t="shared" si="25"/>
        <v>4</v>
      </c>
      <c r="G204" s="13">
        <f t="shared" si="26"/>
        <v>5</v>
      </c>
      <c r="H204" s="15" t="str">
        <f t="shared" si="27"/>
        <v>Ignore</v>
      </c>
      <c r="I204" s="14" t="str">
        <f t="shared" si="28"/>
        <v/>
      </c>
      <c r="J204" s="16" t="str">
        <f t="shared" si="29"/>
        <v/>
      </c>
      <c r="P204" t="str">
        <f t="shared" si="30"/>
        <v>Ignore</v>
      </c>
    </row>
    <row r="205" spans="1:16" x14ac:dyDescent="0.3">
      <c r="A205" s="1">
        <v>1203</v>
      </c>
      <c r="B205" s="2">
        <v>41347.852885245928</v>
      </c>
      <c r="C205" s="1">
        <v>3</v>
      </c>
      <c r="D205" s="1">
        <v>147</v>
      </c>
      <c r="E205">
        <f t="shared" si="24"/>
        <v>1</v>
      </c>
      <c r="F205" s="13">
        <f t="shared" si="25"/>
        <v>3</v>
      </c>
      <c r="G205" s="13">
        <f t="shared" si="26"/>
        <v>3</v>
      </c>
      <c r="H205" s="15" t="str">
        <f t="shared" si="27"/>
        <v/>
      </c>
      <c r="I205" s="14" t="str">
        <f t="shared" si="28"/>
        <v/>
      </c>
      <c r="J205" s="16" t="str">
        <f t="shared" si="29"/>
        <v/>
      </c>
      <c r="P205" t="str">
        <f t="shared" si="30"/>
        <v/>
      </c>
    </row>
    <row r="206" spans="1:16" x14ac:dyDescent="0.3">
      <c r="A206" s="1">
        <v>1204</v>
      </c>
      <c r="B206" s="2">
        <v>41193.080180230856</v>
      </c>
      <c r="C206" s="1">
        <v>7</v>
      </c>
      <c r="D206" s="1">
        <v>189</v>
      </c>
      <c r="E206">
        <f t="shared" si="24"/>
        <v>3</v>
      </c>
      <c r="F206" s="13">
        <f t="shared" si="25"/>
        <v>1</v>
      </c>
      <c r="G206" s="13">
        <f t="shared" si="26"/>
        <v>3</v>
      </c>
      <c r="H206" s="15" t="str">
        <f t="shared" si="27"/>
        <v/>
      </c>
      <c r="I206" s="14" t="str">
        <f t="shared" si="28"/>
        <v/>
      </c>
      <c r="J206" s="16" t="str">
        <f t="shared" si="29"/>
        <v/>
      </c>
      <c r="P206" t="str">
        <f t="shared" si="30"/>
        <v/>
      </c>
    </row>
    <row r="207" spans="1:16" x14ac:dyDescent="0.3">
      <c r="A207" s="1">
        <v>1205</v>
      </c>
      <c r="B207" s="2">
        <v>41257.347723796462</v>
      </c>
      <c r="C207" s="1">
        <v>8</v>
      </c>
      <c r="D207" s="1">
        <v>104</v>
      </c>
      <c r="E207">
        <f t="shared" si="24"/>
        <v>2</v>
      </c>
      <c r="F207" s="13">
        <f t="shared" si="25"/>
        <v>1</v>
      </c>
      <c r="G207" s="13">
        <f t="shared" si="26"/>
        <v>4</v>
      </c>
      <c r="H207" s="15" t="str">
        <f t="shared" si="27"/>
        <v/>
      </c>
      <c r="I207" s="14" t="str">
        <f t="shared" si="28"/>
        <v>Upsell</v>
      </c>
      <c r="J207" s="16" t="str">
        <f t="shared" si="29"/>
        <v/>
      </c>
      <c r="P207" t="str">
        <f t="shared" si="30"/>
        <v>Upsell</v>
      </c>
    </row>
    <row r="208" spans="1:16" x14ac:dyDescent="0.3">
      <c r="A208" s="1">
        <v>1206</v>
      </c>
      <c r="B208" s="2">
        <v>41317.640639878264</v>
      </c>
      <c r="C208" s="1">
        <v>5</v>
      </c>
      <c r="D208" s="1">
        <v>400</v>
      </c>
      <c r="E208">
        <f t="shared" si="24"/>
        <v>1</v>
      </c>
      <c r="F208" s="13">
        <f t="shared" si="25"/>
        <v>2</v>
      </c>
      <c r="G208" s="13">
        <f t="shared" si="26"/>
        <v>2</v>
      </c>
      <c r="H208" s="15" t="str">
        <f t="shared" si="27"/>
        <v/>
      </c>
      <c r="I208" s="14" t="str">
        <f t="shared" si="28"/>
        <v/>
      </c>
      <c r="J208" s="16" t="str">
        <f t="shared" si="29"/>
        <v/>
      </c>
      <c r="P208" t="str">
        <f t="shared" si="30"/>
        <v/>
      </c>
    </row>
    <row r="209" spans="1:16" x14ac:dyDescent="0.3">
      <c r="A209" s="1">
        <v>1207</v>
      </c>
      <c r="B209" s="2">
        <v>41337.363123409305</v>
      </c>
      <c r="C209" s="1">
        <v>2</v>
      </c>
      <c r="D209" s="1">
        <v>190</v>
      </c>
      <c r="E209">
        <f t="shared" si="24"/>
        <v>1</v>
      </c>
      <c r="F209" s="13">
        <f t="shared" si="25"/>
        <v>3</v>
      </c>
      <c r="G209" s="13">
        <f t="shared" si="26"/>
        <v>3</v>
      </c>
      <c r="H209" s="15" t="str">
        <f t="shared" si="27"/>
        <v/>
      </c>
      <c r="I209" s="14" t="str">
        <f t="shared" si="28"/>
        <v/>
      </c>
      <c r="J209" s="16" t="str">
        <f t="shared" si="29"/>
        <v/>
      </c>
      <c r="P209" t="str">
        <f t="shared" si="30"/>
        <v/>
      </c>
    </row>
    <row r="210" spans="1:16" x14ac:dyDescent="0.3">
      <c r="A210" s="1">
        <v>1208</v>
      </c>
      <c r="B210" s="2">
        <v>41309.965204568347</v>
      </c>
      <c r="C210" s="1">
        <v>8</v>
      </c>
      <c r="D210" s="1">
        <v>608</v>
      </c>
      <c r="E210">
        <f t="shared" si="24"/>
        <v>1</v>
      </c>
      <c r="F210" s="13">
        <f t="shared" si="25"/>
        <v>1</v>
      </c>
      <c r="G210" s="13">
        <f t="shared" si="26"/>
        <v>1</v>
      </c>
      <c r="H210" s="15" t="str">
        <f t="shared" si="27"/>
        <v/>
      </c>
      <c r="I210" s="14" t="str">
        <f t="shared" si="28"/>
        <v/>
      </c>
      <c r="J210" s="16" t="str">
        <f t="shared" si="29"/>
        <v/>
      </c>
      <c r="P210" t="str">
        <f t="shared" si="30"/>
        <v/>
      </c>
    </row>
    <row r="211" spans="1:16" x14ac:dyDescent="0.3">
      <c r="A211" s="1">
        <v>1209</v>
      </c>
      <c r="B211" s="2">
        <v>41148.865685053905</v>
      </c>
      <c r="C211" s="1">
        <v>4</v>
      </c>
      <c r="D211" s="1">
        <v>392</v>
      </c>
      <c r="E211">
        <f t="shared" si="24"/>
        <v>4</v>
      </c>
      <c r="F211" s="13">
        <f t="shared" si="25"/>
        <v>2</v>
      </c>
      <c r="G211" s="13">
        <f t="shared" si="26"/>
        <v>2</v>
      </c>
      <c r="H211" s="15" t="str">
        <f t="shared" si="27"/>
        <v/>
      </c>
      <c r="I211" s="14" t="str">
        <f t="shared" si="28"/>
        <v/>
      </c>
      <c r="J211" s="16" t="str">
        <f t="shared" si="29"/>
        <v>Contact</v>
      </c>
      <c r="P211" t="str">
        <f t="shared" si="30"/>
        <v>Contact</v>
      </c>
    </row>
    <row r="212" spans="1:16" x14ac:dyDescent="0.3">
      <c r="A212" s="1">
        <v>1210</v>
      </c>
      <c r="B212" s="2">
        <v>41277.137640288805</v>
      </c>
      <c r="C212" s="1">
        <v>7</v>
      </c>
      <c r="D212" s="1">
        <v>175</v>
      </c>
      <c r="E212">
        <f t="shared" si="24"/>
        <v>2</v>
      </c>
      <c r="F212" s="13">
        <f t="shared" si="25"/>
        <v>1</v>
      </c>
      <c r="G212" s="13">
        <f t="shared" si="26"/>
        <v>3</v>
      </c>
      <c r="H212" s="15" t="str">
        <f t="shared" si="27"/>
        <v/>
      </c>
      <c r="I212" s="14" t="str">
        <f t="shared" si="28"/>
        <v/>
      </c>
      <c r="J212" s="16" t="str">
        <f t="shared" si="29"/>
        <v/>
      </c>
      <c r="P212" t="str">
        <f t="shared" si="30"/>
        <v/>
      </c>
    </row>
    <row r="213" spans="1:16" x14ac:dyDescent="0.3">
      <c r="A213" s="1">
        <v>1211</v>
      </c>
      <c r="B213" s="2">
        <v>41202.153450266611</v>
      </c>
      <c r="C213" s="1">
        <v>9</v>
      </c>
      <c r="D213" s="1">
        <v>99</v>
      </c>
      <c r="E213">
        <f t="shared" si="24"/>
        <v>3</v>
      </c>
      <c r="F213" s="13">
        <f t="shared" si="25"/>
        <v>1</v>
      </c>
      <c r="G213" s="13">
        <f t="shared" si="26"/>
        <v>4</v>
      </c>
      <c r="H213" s="15" t="str">
        <f t="shared" si="27"/>
        <v/>
      </c>
      <c r="I213" s="14" t="str">
        <f t="shared" si="28"/>
        <v/>
      </c>
      <c r="J213" s="16" t="str">
        <f t="shared" si="29"/>
        <v/>
      </c>
      <c r="P213" t="str">
        <f t="shared" si="30"/>
        <v/>
      </c>
    </row>
    <row r="214" spans="1:16" x14ac:dyDescent="0.3">
      <c r="A214" s="1">
        <v>1212</v>
      </c>
      <c r="B214" s="2">
        <v>41146.861277559183</v>
      </c>
      <c r="C214" s="1">
        <v>5</v>
      </c>
      <c r="D214" s="1">
        <v>55</v>
      </c>
      <c r="E214">
        <f t="shared" si="24"/>
        <v>4</v>
      </c>
      <c r="F214" s="13">
        <f t="shared" si="25"/>
        <v>2</v>
      </c>
      <c r="G214" s="13">
        <f t="shared" si="26"/>
        <v>4</v>
      </c>
      <c r="H214" s="15" t="str">
        <f t="shared" si="27"/>
        <v/>
      </c>
      <c r="I214" s="14" t="str">
        <f t="shared" si="28"/>
        <v/>
      </c>
      <c r="J214" s="16" t="str">
        <f t="shared" si="29"/>
        <v/>
      </c>
      <c r="P214" t="str">
        <f t="shared" si="30"/>
        <v/>
      </c>
    </row>
    <row r="215" spans="1:16" x14ac:dyDescent="0.3">
      <c r="A215" s="1">
        <v>1213</v>
      </c>
      <c r="B215" s="2">
        <v>41352.9059753486</v>
      </c>
      <c r="C215" s="1">
        <v>1</v>
      </c>
      <c r="D215" s="1">
        <v>22</v>
      </c>
      <c r="E215">
        <f t="shared" si="24"/>
        <v>1</v>
      </c>
      <c r="F215" s="13">
        <f t="shared" si="25"/>
        <v>4</v>
      </c>
      <c r="G215" s="13">
        <f t="shared" si="26"/>
        <v>5</v>
      </c>
      <c r="H215" s="15" t="str">
        <f t="shared" si="27"/>
        <v/>
      </c>
      <c r="I215" s="14" t="str">
        <f t="shared" si="28"/>
        <v/>
      </c>
      <c r="J215" s="16" t="str">
        <f t="shared" si="29"/>
        <v/>
      </c>
      <c r="P215" t="str">
        <f t="shared" si="30"/>
        <v/>
      </c>
    </row>
    <row r="216" spans="1:16" x14ac:dyDescent="0.3">
      <c r="A216" s="1">
        <v>1214</v>
      </c>
      <c r="B216" s="2">
        <v>41402.52200541881</v>
      </c>
      <c r="C216" s="1">
        <v>4</v>
      </c>
      <c r="D216" s="1">
        <v>32</v>
      </c>
      <c r="E216">
        <f t="shared" si="24"/>
        <v>1</v>
      </c>
      <c r="F216" s="13">
        <f t="shared" si="25"/>
        <v>2</v>
      </c>
      <c r="G216" s="13">
        <f t="shared" si="26"/>
        <v>5</v>
      </c>
      <c r="H216" s="15" t="str">
        <f t="shared" si="27"/>
        <v/>
      </c>
      <c r="I216" s="14" t="str">
        <f t="shared" si="28"/>
        <v>Upsell</v>
      </c>
      <c r="J216" s="16" t="str">
        <f t="shared" si="29"/>
        <v/>
      </c>
      <c r="P216" t="str">
        <f t="shared" si="30"/>
        <v>Upsell</v>
      </c>
    </row>
    <row r="217" spans="1:16" x14ac:dyDescent="0.3">
      <c r="A217" s="1">
        <v>1215</v>
      </c>
      <c r="B217" s="2">
        <v>41266.98289248129</v>
      </c>
      <c r="C217" s="1">
        <v>4</v>
      </c>
      <c r="D217" s="1">
        <v>144</v>
      </c>
      <c r="E217">
        <f t="shared" si="24"/>
        <v>2</v>
      </c>
      <c r="F217" s="13">
        <f t="shared" si="25"/>
        <v>2</v>
      </c>
      <c r="G217" s="13">
        <f t="shared" si="26"/>
        <v>3</v>
      </c>
      <c r="H217" s="15" t="str">
        <f t="shared" si="27"/>
        <v/>
      </c>
      <c r="I217" s="14" t="str">
        <f t="shared" si="28"/>
        <v/>
      </c>
      <c r="J217" s="16" t="str">
        <f t="shared" si="29"/>
        <v/>
      </c>
      <c r="P217" t="str">
        <f t="shared" si="30"/>
        <v/>
      </c>
    </row>
    <row r="218" spans="1:16" x14ac:dyDescent="0.3">
      <c r="A218" s="1">
        <v>1216</v>
      </c>
      <c r="B218" s="2">
        <v>41168.838081008602</v>
      </c>
      <c r="C218" s="1">
        <v>3</v>
      </c>
      <c r="D218" s="1">
        <v>174</v>
      </c>
      <c r="E218">
        <f t="shared" si="24"/>
        <v>4</v>
      </c>
      <c r="F218" s="13">
        <f t="shared" si="25"/>
        <v>3</v>
      </c>
      <c r="G218" s="13">
        <f t="shared" si="26"/>
        <v>3</v>
      </c>
      <c r="H218" s="15" t="str">
        <f t="shared" si="27"/>
        <v/>
      </c>
      <c r="I218" s="14" t="str">
        <f t="shared" si="28"/>
        <v/>
      </c>
      <c r="J218" s="16" t="str">
        <f t="shared" si="29"/>
        <v/>
      </c>
      <c r="P218" t="str">
        <f t="shared" si="30"/>
        <v/>
      </c>
    </row>
    <row r="219" spans="1:16" x14ac:dyDescent="0.3">
      <c r="A219" s="1">
        <v>1217</v>
      </c>
      <c r="B219" s="2">
        <v>41229.112639893938</v>
      </c>
      <c r="C219" s="1">
        <v>6</v>
      </c>
      <c r="D219" s="1">
        <v>420</v>
      </c>
      <c r="E219">
        <f t="shared" si="24"/>
        <v>3</v>
      </c>
      <c r="F219" s="13">
        <f t="shared" si="25"/>
        <v>1</v>
      </c>
      <c r="G219" s="13">
        <f t="shared" si="26"/>
        <v>2</v>
      </c>
      <c r="H219" s="15" t="str">
        <f t="shared" si="27"/>
        <v/>
      </c>
      <c r="I219" s="14" t="str">
        <f t="shared" si="28"/>
        <v/>
      </c>
      <c r="J219" s="16" t="str">
        <f t="shared" si="29"/>
        <v/>
      </c>
      <c r="P219" t="str">
        <f t="shared" si="30"/>
        <v/>
      </c>
    </row>
    <row r="220" spans="1:16" x14ac:dyDescent="0.3">
      <c r="A220" s="1">
        <v>1218</v>
      </c>
      <c r="B220" s="2">
        <v>41200.049298927268</v>
      </c>
      <c r="C220" s="1">
        <v>7</v>
      </c>
      <c r="D220" s="1">
        <v>168</v>
      </c>
      <c r="E220">
        <f t="shared" si="24"/>
        <v>3</v>
      </c>
      <c r="F220" s="13">
        <f t="shared" si="25"/>
        <v>1</v>
      </c>
      <c r="G220" s="13">
        <f t="shared" si="26"/>
        <v>3</v>
      </c>
      <c r="H220" s="15" t="str">
        <f t="shared" si="27"/>
        <v/>
      </c>
      <c r="I220" s="14" t="str">
        <f t="shared" si="28"/>
        <v/>
      </c>
      <c r="J220" s="16" t="str">
        <f t="shared" si="29"/>
        <v/>
      </c>
      <c r="P220" t="str">
        <f t="shared" si="30"/>
        <v/>
      </c>
    </row>
    <row r="221" spans="1:16" x14ac:dyDescent="0.3">
      <c r="A221" s="1">
        <v>1219</v>
      </c>
      <c r="B221" s="2">
        <v>41201.980371133177</v>
      </c>
      <c r="C221" s="1">
        <v>0</v>
      </c>
      <c r="D221" s="1">
        <v>0</v>
      </c>
      <c r="E221">
        <f t="shared" si="24"/>
        <v>3</v>
      </c>
      <c r="F221" s="13">
        <f t="shared" si="25"/>
        <v>4</v>
      </c>
      <c r="G221" s="13">
        <f t="shared" si="26"/>
        <v>5</v>
      </c>
      <c r="H221" s="15" t="str">
        <f t="shared" si="27"/>
        <v/>
      </c>
      <c r="I221" s="14" t="str">
        <f t="shared" si="28"/>
        <v/>
      </c>
      <c r="J221" s="16" t="str">
        <f t="shared" si="29"/>
        <v/>
      </c>
      <c r="P221" t="str">
        <f t="shared" si="30"/>
        <v/>
      </c>
    </row>
    <row r="222" spans="1:16" x14ac:dyDescent="0.3">
      <c r="A222" s="1">
        <v>1220</v>
      </c>
      <c r="B222" s="2">
        <v>41256.698873736867</v>
      </c>
      <c r="C222" s="1">
        <v>7</v>
      </c>
      <c r="D222" s="1">
        <v>609</v>
      </c>
      <c r="E222">
        <f t="shared" si="24"/>
        <v>2</v>
      </c>
      <c r="F222" s="13">
        <f t="shared" si="25"/>
        <v>1</v>
      </c>
      <c r="G222" s="13">
        <f t="shared" si="26"/>
        <v>1</v>
      </c>
      <c r="H222" s="15" t="str">
        <f t="shared" si="27"/>
        <v/>
      </c>
      <c r="I222" s="14" t="str">
        <f t="shared" si="28"/>
        <v/>
      </c>
      <c r="J222" s="16" t="str">
        <f t="shared" si="29"/>
        <v/>
      </c>
      <c r="P222" t="str">
        <f t="shared" si="30"/>
        <v/>
      </c>
    </row>
    <row r="223" spans="1:16" x14ac:dyDescent="0.3">
      <c r="A223" s="1">
        <v>1221</v>
      </c>
      <c r="B223" s="2">
        <v>41238.85107509535</v>
      </c>
      <c r="C223" s="1">
        <v>4</v>
      </c>
      <c r="D223" s="1">
        <v>248</v>
      </c>
      <c r="E223">
        <f t="shared" si="24"/>
        <v>3</v>
      </c>
      <c r="F223" s="13">
        <f t="shared" si="25"/>
        <v>2</v>
      </c>
      <c r="G223" s="13">
        <f t="shared" si="26"/>
        <v>2</v>
      </c>
      <c r="H223" s="15" t="str">
        <f t="shared" si="27"/>
        <v/>
      </c>
      <c r="I223" s="14" t="str">
        <f t="shared" si="28"/>
        <v/>
      </c>
      <c r="J223" s="16" t="str">
        <f t="shared" si="29"/>
        <v/>
      </c>
      <c r="P223" t="str">
        <f t="shared" si="30"/>
        <v/>
      </c>
    </row>
    <row r="224" spans="1:16" x14ac:dyDescent="0.3">
      <c r="A224" s="1">
        <v>1222</v>
      </c>
      <c r="B224" s="2">
        <v>41179.5459561069</v>
      </c>
      <c r="C224" s="1">
        <v>4</v>
      </c>
      <c r="D224" s="1">
        <v>12</v>
      </c>
      <c r="E224">
        <f t="shared" si="24"/>
        <v>4</v>
      </c>
      <c r="F224" s="13">
        <f t="shared" si="25"/>
        <v>2</v>
      </c>
      <c r="G224" s="13">
        <f t="shared" si="26"/>
        <v>5</v>
      </c>
      <c r="H224" s="15" t="str">
        <f t="shared" si="27"/>
        <v/>
      </c>
      <c r="I224" s="14" t="str">
        <f t="shared" si="28"/>
        <v/>
      </c>
      <c r="J224" s="16" t="str">
        <f t="shared" si="29"/>
        <v/>
      </c>
      <c r="P224" t="str">
        <f t="shared" si="30"/>
        <v/>
      </c>
    </row>
    <row r="225" spans="1:16" x14ac:dyDescent="0.3">
      <c r="A225" s="1">
        <v>1223</v>
      </c>
      <c r="B225" s="2">
        <v>41341.010190834008</v>
      </c>
      <c r="C225" s="1">
        <v>5</v>
      </c>
      <c r="D225" s="1">
        <v>145</v>
      </c>
      <c r="E225">
        <f t="shared" si="24"/>
        <v>1</v>
      </c>
      <c r="F225" s="13">
        <f t="shared" si="25"/>
        <v>2</v>
      </c>
      <c r="G225" s="13">
        <f t="shared" si="26"/>
        <v>3</v>
      </c>
      <c r="H225" s="15" t="str">
        <f t="shared" si="27"/>
        <v/>
      </c>
      <c r="I225" s="14" t="str">
        <f t="shared" si="28"/>
        <v/>
      </c>
      <c r="J225" s="16" t="str">
        <f t="shared" si="29"/>
        <v/>
      </c>
      <c r="P225" t="str">
        <f t="shared" si="30"/>
        <v/>
      </c>
    </row>
    <row r="226" spans="1:16" x14ac:dyDescent="0.3">
      <c r="A226" s="1">
        <v>1224</v>
      </c>
      <c r="B226" s="2">
        <v>41333.830498710922</v>
      </c>
      <c r="C226" s="1">
        <v>7</v>
      </c>
      <c r="D226" s="1">
        <v>511</v>
      </c>
      <c r="E226">
        <f t="shared" si="24"/>
        <v>1</v>
      </c>
      <c r="F226" s="13">
        <f t="shared" si="25"/>
        <v>1</v>
      </c>
      <c r="G226" s="13">
        <f t="shared" si="26"/>
        <v>1</v>
      </c>
      <c r="H226" s="15" t="str">
        <f t="shared" si="27"/>
        <v/>
      </c>
      <c r="I226" s="14" t="str">
        <f t="shared" si="28"/>
        <v/>
      </c>
      <c r="J226" s="16" t="str">
        <f t="shared" si="29"/>
        <v/>
      </c>
      <c r="P226" t="str">
        <f t="shared" si="30"/>
        <v/>
      </c>
    </row>
    <row r="227" spans="1:16" x14ac:dyDescent="0.3">
      <c r="A227" s="1">
        <v>1225</v>
      </c>
      <c r="B227" s="2">
        <v>41202.437381142125</v>
      </c>
      <c r="C227" s="1">
        <v>1</v>
      </c>
      <c r="D227" s="1">
        <v>41</v>
      </c>
      <c r="E227">
        <f t="shared" si="24"/>
        <v>3</v>
      </c>
      <c r="F227" s="13">
        <f t="shared" si="25"/>
        <v>4</v>
      </c>
      <c r="G227" s="13">
        <f t="shared" si="26"/>
        <v>5</v>
      </c>
      <c r="H227" s="15" t="str">
        <f t="shared" si="27"/>
        <v/>
      </c>
      <c r="I227" s="14" t="str">
        <f t="shared" si="28"/>
        <v/>
      </c>
      <c r="J227" s="16" t="str">
        <f t="shared" si="29"/>
        <v/>
      </c>
      <c r="P227" t="str">
        <f t="shared" si="30"/>
        <v/>
      </c>
    </row>
    <row r="228" spans="1:16" x14ac:dyDescent="0.3">
      <c r="A228" s="1">
        <v>1226</v>
      </c>
      <c r="B228" s="2">
        <v>41333.189588720837</v>
      </c>
      <c r="C228" s="1">
        <v>3</v>
      </c>
      <c r="D228" s="1">
        <v>156</v>
      </c>
      <c r="E228">
        <f t="shared" si="24"/>
        <v>1</v>
      </c>
      <c r="F228" s="13">
        <f t="shared" si="25"/>
        <v>3</v>
      </c>
      <c r="G228" s="13">
        <f t="shared" si="26"/>
        <v>3</v>
      </c>
      <c r="H228" s="15" t="str">
        <f t="shared" si="27"/>
        <v/>
      </c>
      <c r="I228" s="14" t="str">
        <f t="shared" si="28"/>
        <v/>
      </c>
      <c r="J228" s="16" t="str">
        <f t="shared" si="29"/>
        <v/>
      </c>
      <c r="P228" t="str">
        <f t="shared" si="30"/>
        <v/>
      </c>
    </row>
    <row r="229" spans="1:16" x14ac:dyDescent="0.3">
      <c r="A229" s="1">
        <v>1227</v>
      </c>
      <c r="B229" s="2">
        <v>41283.414244224965</v>
      </c>
      <c r="C229" s="1">
        <v>2</v>
      </c>
      <c r="D229" s="1">
        <v>64</v>
      </c>
      <c r="E229">
        <f t="shared" si="24"/>
        <v>2</v>
      </c>
      <c r="F229" s="13">
        <f t="shared" si="25"/>
        <v>3</v>
      </c>
      <c r="G229" s="13">
        <f t="shared" si="26"/>
        <v>4</v>
      </c>
      <c r="H229" s="15" t="str">
        <f t="shared" si="27"/>
        <v/>
      </c>
      <c r="I229" s="14" t="str">
        <f t="shared" si="28"/>
        <v/>
      </c>
      <c r="J229" s="16" t="str">
        <f t="shared" si="29"/>
        <v/>
      </c>
      <c r="P229" t="str">
        <f t="shared" si="30"/>
        <v/>
      </c>
    </row>
    <row r="230" spans="1:16" x14ac:dyDescent="0.3">
      <c r="A230" s="1">
        <v>1228</v>
      </c>
      <c r="B230" s="2">
        <v>41403.089767349353</v>
      </c>
      <c r="C230" s="1">
        <v>5</v>
      </c>
      <c r="D230" s="1">
        <v>215</v>
      </c>
      <c r="E230">
        <f t="shared" si="24"/>
        <v>1</v>
      </c>
      <c r="F230" s="13">
        <f t="shared" si="25"/>
        <v>2</v>
      </c>
      <c r="G230" s="13">
        <f t="shared" si="26"/>
        <v>3</v>
      </c>
      <c r="H230" s="15" t="str">
        <f t="shared" si="27"/>
        <v/>
      </c>
      <c r="I230" s="14" t="str">
        <f t="shared" si="28"/>
        <v/>
      </c>
      <c r="J230" s="16" t="str">
        <f t="shared" si="29"/>
        <v/>
      </c>
      <c r="P230" t="str">
        <f t="shared" si="30"/>
        <v/>
      </c>
    </row>
    <row r="231" spans="1:16" x14ac:dyDescent="0.3">
      <c r="A231" s="1">
        <v>1229</v>
      </c>
      <c r="B231" s="2">
        <v>41137.038701809848</v>
      </c>
      <c r="C231" s="1">
        <v>2</v>
      </c>
      <c r="D231" s="1">
        <v>30</v>
      </c>
      <c r="E231">
        <f t="shared" si="24"/>
        <v>4</v>
      </c>
      <c r="F231" s="13">
        <f t="shared" si="25"/>
        <v>3</v>
      </c>
      <c r="G231" s="13">
        <f t="shared" si="26"/>
        <v>5</v>
      </c>
      <c r="H231" s="15" t="str">
        <f t="shared" si="27"/>
        <v/>
      </c>
      <c r="I231" s="14" t="str">
        <f t="shared" si="28"/>
        <v/>
      </c>
      <c r="J231" s="16" t="str">
        <f t="shared" si="29"/>
        <v/>
      </c>
      <c r="P231" t="str">
        <f t="shared" si="30"/>
        <v/>
      </c>
    </row>
    <row r="232" spans="1:16" x14ac:dyDescent="0.3">
      <c r="A232" s="1">
        <v>1230</v>
      </c>
      <c r="B232" s="2">
        <v>41377.165737767893</v>
      </c>
      <c r="C232" s="1">
        <v>4</v>
      </c>
      <c r="D232" s="1">
        <v>280</v>
      </c>
      <c r="E232">
        <f t="shared" si="24"/>
        <v>1</v>
      </c>
      <c r="F232" s="13">
        <f t="shared" si="25"/>
        <v>2</v>
      </c>
      <c r="G232" s="13">
        <f t="shared" si="26"/>
        <v>2</v>
      </c>
      <c r="H232" s="15" t="str">
        <f t="shared" si="27"/>
        <v/>
      </c>
      <c r="I232" s="14" t="str">
        <f t="shared" si="28"/>
        <v/>
      </c>
      <c r="J232" s="16" t="str">
        <f t="shared" si="29"/>
        <v/>
      </c>
      <c r="P232" t="str">
        <f t="shared" si="30"/>
        <v/>
      </c>
    </row>
    <row r="233" spans="1:16" x14ac:dyDescent="0.3">
      <c r="A233" s="1">
        <v>1231</v>
      </c>
      <c r="B233" s="2">
        <v>41296.910121312365</v>
      </c>
      <c r="C233" s="1">
        <v>6</v>
      </c>
      <c r="D233" s="1">
        <v>6</v>
      </c>
      <c r="E233">
        <f t="shared" si="24"/>
        <v>2</v>
      </c>
      <c r="F233" s="13">
        <f t="shared" si="25"/>
        <v>1</v>
      </c>
      <c r="G233" s="13">
        <f t="shared" si="26"/>
        <v>5</v>
      </c>
      <c r="H233" s="15" t="str">
        <f t="shared" si="27"/>
        <v/>
      </c>
      <c r="I233" s="14" t="str">
        <f t="shared" si="28"/>
        <v>Upsell</v>
      </c>
      <c r="J233" s="16" t="str">
        <f t="shared" si="29"/>
        <v/>
      </c>
      <c r="P233" t="str">
        <f t="shared" si="30"/>
        <v>Upsell</v>
      </c>
    </row>
    <row r="234" spans="1:16" x14ac:dyDescent="0.3">
      <c r="A234" s="1">
        <v>1232</v>
      </c>
      <c r="B234" s="2">
        <v>41315.316395205329</v>
      </c>
      <c r="C234" s="1">
        <v>0</v>
      </c>
      <c r="D234" s="1">
        <v>0</v>
      </c>
      <c r="E234">
        <f t="shared" si="24"/>
        <v>1</v>
      </c>
      <c r="F234" s="13">
        <f t="shared" si="25"/>
        <v>4</v>
      </c>
      <c r="G234" s="13">
        <f t="shared" si="26"/>
        <v>5</v>
      </c>
      <c r="H234" s="15" t="str">
        <f t="shared" si="27"/>
        <v/>
      </c>
      <c r="I234" s="14" t="str">
        <f t="shared" si="28"/>
        <v/>
      </c>
      <c r="J234" s="16" t="str">
        <f t="shared" si="29"/>
        <v/>
      </c>
      <c r="P234" t="str">
        <f t="shared" si="30"/>
        <v/>
      </c>
    </row>
    <row r="235" spans="1:16" x14ac:dyDescent="0.3">
      <c r="A235" s="1">
        <v>1233</v>
      </c>
      <c r="B235" s="2">
        <v>41148.819966304945</v>
      </c>
      <c r="C235" s="1">
        <v>5</v>
      </c>
      <c r="D235" s="1">
        <v>0</v>
      </c>
      <c r="E235">
        <f t="shared" si="24"/>
        <v>4</v>
      </c>
      <c r="F235" s="13">
        <f t="shared" si="25"/>
        <v>2</v>
      </c>
      <c r="G235" s="13">
        <f t="shared" si="26"/>
        <v>5</v>
      </c>
      <c r="H235" s="15" t="str">
        <f t="shared" si="27"/>
        <v/>
      </c>
      <c r="I235" s="14" t="str">
        <f t="shared" si="28"/>
        <v/>
      </c>
      <c r="J235" s="16" t="str">
        <f t="shared" si="29"/>
        <v/>
      </c>
      <c r="P235" t="str">
        <f t="shared" si="30"/>
        <v/>
      </c>
    </row>
    <row r="236" spans="1:16" x14ac:dyDescent="0.3">
      <c r="A236" s="1">
        <v>1234</v>
      </c>
      <c r="B236" s="2">
        <v>41416.385563282172</v>
      </c>
      <c r="C236" s="1">
        <v>7</v>
      </c>
      <c r="D236" s="1">
        <v>238</v>
      </c>
      <c r="E236">
        <f t="shared" si="24"/>
        <v>1</v>
      </c>
      <c r="F236" s="13">
        <f t="shared" si="25"/>
        <v>1</v>
      </c>
      <c r="G236" s="13">
        <f t="shared" si="26"/>
        <v>2</v>
      </c>
      <c r="H236" s="15" t="str">
        <f t="shared" si="27"/>
        <v/>
      </c>
      <c r="I236" s="14" t="str">
        <f t="shared" si="28"/>
        <v/>
      </c>
      <c r="J236" s="16" t="str">
        <f t="shared" si="29"/>
        <v/>
      </c>
      <c r="P236" t="str">
        <f t="shared" si="30"/>
        <v/>
      </c>
    </row>
    <row r="237" spans="1:16" x14ac:dyDescent="0.3">
      <c r="A237" s="1">
        <v>1235</v>
      </c>
      <c r="B237" s="2">
        <v>41316.075217900609</v>
      </c>
      <c r="C237" s="1">
        <v>4</v>
      </c>
      <c r="D237" s="1">
        <v>156</v>
      </c>
      <c r="E237">
        <f t="shared" si="24"/>
        <v>1</v>
      </c>
      <c r="F237" s="13">
        <f t="shared" si="25"/>
        <v>2</v>
      </c>
      <c r="G237" s="13">
        <f t="shared" si="26"/>
        <v>3</v>
      </c>
      <c r="H237" s="15" t="str">
        <f t="shared" si="27"/>
        <v/>
      </c>
      <c r="I237" s="14" t="str">
        <f t="shared" si="28"/>
        <v/>
      </c>
      <c r="J237" s="16" t="str">
        <f t="shared" si="29"/>
        <v/>
      </c>
      <c r="P237" t="str">
        <f t="shared" si="30"/>
        <v/>
      </c>
    </row>
    <row r="238" spans="1:16" x14ac:dyDescent="0.3">
      <c r="A238" s="1">
        <v>1236</v>
      </c>
      <c r="B238" s="2">
        <v>41307.867294851669</v>
      </c>
      <c r="C238" s="1">
        <v>0</v>
      </c>
      <c r="D238" s="1">
        <v>0</v>
      </c>
      <c r="E238">
        <f t="shared" si="24"/>
        <v>1</v>
      </c>
      <c r="F238" s="13">
        <f t="shared" si="25"/>
        <v>4</v>
      </c>
      <c r="G238" s="13">
        <f t="shared" si="26"/>
        <v>5</v>
      </c>
      <c r="H238" s="15" t="str">
        <f t="shared" si="27"/>
        <v/>
      </c>
      <c r="I238" s="14" t="str">
        <f t="shared" si="28"/>
        <v/>
      </c>
      <c r="J238" s="16" t="str">
        <f t="shared" si="29"/>
        <v/>
      </c>
      <c r="P238" t="str">
        <f t="shared" si="30"/>
        <v/>
      </c>
    </row>
    <row r="239" spans="1:16" x14ac:dyDescent="0.3">
      <c r="A239" s="1">
        <v>1237</v>
      </c>
      <c r="B239" s="2">
        <v>41183.101943102556</v>
      </c>
      <c r="C239" s="1">
        <v>6</v>
      </c>
      <c r="D239" s="1">
        <v>216</v>
      </c>
      <c r="E239">
        <f t="shared" si="24"/>
        <v>3</v>
      </c>
      <c r="F239" s="13">
        <f t="shared" si="25"/>
        <v>1</v>
      </c>
      <c r="G239" s="13">
        <f t="shared" si="26"/>
        <v>3</v>
      </c>
      <c r="H239" s="15" t="str">
        <f t="shared" si="27"/>
        <v/>
      </c>
      <c r="I239" s="14" t="str">
        <f t="shared" si="28"/>
        <v/>
      </c>
      <c r="J239" s="16" t="str">
        <f t="shared" si="29"/>
        <v/>
      </c>
      <c r="P239" t="str">
        <f t="shared" si="30"/>
        <v/>
      </c>
    </row>
    <row r="240" spans="1:16" x14ac:dyDescent="0.3">
      <c r="A240" s="1">
        <v>1238</v>
      </c>
      <c r="B240" s="2">
        <v>41200.703335368686</v>
      </c>
      <c r="C240" s="1">
        <v>5</v>
      </c>
      <c r="D240" s="1">
        <v>120</v>
      </c>
      <c r="E240">
        <f t="shared" si="24"/>
        <v>3</v>
      </c>
      <c r="F240" s="13">
        <f t="shared" si="25"/>
        <v>2</v>
      </c>
      <c r="G240" s="13">
        <f t="shared" si="26"/>
        <v>4</v>
      </c>
      <c r="H240" s="15" t="str">
        <f t="shared" si="27"/>
        <v/>
      </c>
      <c r="I240" s="14" t="str">
        <f t="shared" si="28"/>
        <v/>
      </c>
      <c r="J240" s="16" t="str">
        <f t="shared" si="29"/>
        <v/>
      </c>
      <c r="P240" t="str">
        <f t="shared" si="30"/>
        <v/>
      </c>
    </row>
    <row r="241" spans="1:16" x14ac:dyDescent="0.3">
      <c r="A241" s="1">
        <v>1239</v>
      </c>
      <c r="B241" s="2">
        <v>41381.583637467469</v>
      </c>
      <c r="C241" s="1">
        <v>9</v>
      </c>
      <c r="D241" s="1">
        <v>567</v>
      </c>
      <c r="E241">
        <f t="shared" si="24"/>
        <v>1</v>
      </c>
      <c r="F241" s="13">
        <f t="shared" si="25"/>
        <v>1</v>
      </c>
      <c r="G241" s="13">
        <f t="shared" si="26"/>
        <v>1</v>
      </c>
      <c r="H241" s="15" t="str">
        <f t="shared" si="27"/>
        <v/>
      </c>
      <c r="I241" s="14" t="str">
        <f t="shared" si="28"/>
        <v/>
      </c>
      <c r="J241" s="16" t="str">
        <f t="shared" si="29"/>
        <v/>
      </c>
      <c r="P241" t="str">
        <f t="shared" si="30"/>
        <v/>
      </c>
    </row>
    <row r="242" spans="1:16" x14ac:dyDescent="0.3">
      <c r="A242" s="1">
        <v>1240</v>
      </c>
      <c r="B242" s="2">
        <v>41276.593874581791</v>
      </c>
      <c r="C242" s="1">
        <v>5</v>
      </c>
      <c r="D242" s="1">
        <v>230</v>
      </c>
      <c r="E242">
        <f t="shared" si="24"/>
        <v>2</v>
      </c>
      <c r="F242" s="13">
        <f t="shared" si="25"/>
        <v>2</v>
      </c>
      <c r="G242" s="13">
        <f t="shared" si="26"/>
        <v>2</v>
      </c>
      <c r="H242" s="15" t="str">
        <f t="shared" si="27"/>
        <v/>
      </c>
      <c r="I242" s="14" t="str">
        <f t="shared" si="28"/>
        <v/>
      </c>
      <c r="J242" s="16" t="str">
        <f t="shared" si="29"/>
        <v/>
      </c>
      <c r="P242" t="str">
        <f t="shared" si="30"/>
        <v/>
      </c>
    </row>
    <row r="243" spans="1:16" x14ac:dyDescent="0.3">
      <c r="A243" s="1">
        <v>1241</v>
      </c>
      <c r="B243" s="2">
        <v>41246.790669469941</v>
      </c>
      <c r="C243" s="1">
        <v>4</v>
      </c>
      <c r="D243" s="1">
        <v>280</v>
      </c>
      <c r="E243">
        <f t="shared" si="24"/>
        <v>2</v>
      </c>
      <c r="F243" s="13">
        <f t="shared" si="25"/>
        <v>2</v>
      </c>
      <c r="G243" s="13">
        <f t="shared" si="26"/>
        <v>2</v>
      </c>
      <c r="H243" s="15" t="str">
        <f t="shared" si="27"/>
        <v/>
      </c>
      <c r="I243" s="14" t="str">
        <f t="shared" si="28"/>
        <v/>
      </c>
      <c r="J243" s="16" t="str">
        <f t="shared" si="29"/>
        <v/>
      </c>
      <c r="P243" t="str">
        <f t="shared" si="30"/>
        <v/>
      </c>
    </row>
    <row r="244" spans="1:16" x14ac:dyDescent="0.3">
      <c r="A244" s="1">
        <v>1242</v>
      </c>
      <c r="B244" s="2">
        <v>41224.385215122536</v>
      </c>
      <c r="C244" s="1">
        <v>4</v>
      </c>
      <c r="D244" s="1">
        <v>372</v>
      </c>
      <c r="E244">
        <f t="shared" si="24"/>
        <v>3</v>
      </c>
      <c r="F244" s="13">
        <f t="shared" si="25"/>
        <v>2</v>
      </c>
      <c r="G244" s="13">
        <f t="shared" si="26"/>
        <v>2</v>
      </c>
      <c r="H244" s="15" t="str">
        <f t="shared" si="27"/>
        <v/>
      </c>
      <c r="I244" s="14" t="str">
        <f t="shared" si="28"/>
        <v/>
      </c>
      <c r="J244" s="16" t="str">
        <f t="shared" si="29"/>
        <v/>
      </c>
      <c r="P244" t="str">
        <f t="shared" si="30"/>
        <v/>
      </c>
    </row>
    <row r="245" spans="1:16" x14ac:dyDescent="0.3">
      <c r="A245" s="1">
        <v>1243</v>
      </c>
      <c r="B245" s="2">
        <v>41293.120048951932</v>
      </c>
      <c r="C245" s="1">
        <v>8</v>
      </c>
      <c r="D245" s="1">
        <v>528</v>
      </c>
      <c r="E245">
        <f t="shared" si="24"/>
        <v>2</v>
      </c>
      <c r="F245" s="13">
        <f t="shared" si="25"/>
        <v>1</v>
      </c>
      <c r="G245" s="13">
        <f t="shared" si="26"/>
        <v>1</v>
      </c>
      <c r="H245" s="15" t="str">
        <f t="shared" si="27"/>
        <v/>
      </c>
      <c r="I245" s="14" t="str">
        <f t="shared" si="28"/>
        <v/>
      </c>
      <c r="J245" s="16" t="str">
        <f t="shared" si="29"/>
        <v/>
      </c>
      <c r="P245" t="str">
        <f t="shared" si="30"/>
        <v/>
      </c>
    </row>
    <row r="246" spans="1:16" x14ac:dyDescent="0.3">
      <c r="A246" s="1">
        <v>1244</v>
      </c>
      <c r="B246" s="2">
        <v>41351.097883476476</v>
      </c>
      <c r="C246" s="1">
        <v>5</v>
      </c>
      <c r="D246" s="1">
        <v>315</v>
      </c>
      <c r="E246">
        <f t="shared" si="24"/>
        <v>1</v>
      </c>
      <c r="F246" s="13">
        <f t="shared" si="25"/>
        <v>2</v>
      </c>
      <c r="G246" s="13">
        <f t="shared" si="26"/>
        <v>2</v>
      </c>
      <c r="H246" s="15" t="str">
        <f t="shared" si="27"/>
        <v/>
      </c>
      <c r="I246" s="14" t="str">
        <f t="shared" si="28"/>
        <v/>
      </c>
      <c r="J246" s="16" t="str">
        <f t="shared" si="29"/>
        <v/>
      </c>
      <c r="P246" t="str">
        <f t="shared" si="30"/>
        <v/>
      </c>
    </row>
    <row r="247" spans="1:16" x14ac:dyDescent="0.3">
      <c r="A247" s="1">
        <v>1245</v>
      </c>
      <c r="B247" s="2">
        <v>41332.053670915782</v>
      </c>
      <c r="C247" s="1">
        <v>8</v>
      </c>
      <c r="D247" s="1">
        <v>424</v>
      </c>
      <c r="E247">
        <f t="shared" si="24"/>
        <v>1</v>
      </c>
      <c r="F247" s="13">
        <f t="shared" si="25"/>
        <v>1</v>
      </c>
      <c r="G247" s="13">
        <f t="shared" si="26"/>
        <v>2</v>
      </c>
      <c r="H247" s="15" t="str">
        <f t="shared" si="27"/>
        <v/>
      </c>
      <c r="I247" s="14" t="str">
        <f t="shared" si="28"/>
        <v/>
      </c>
      <c r="J247" s="16" t="str">
        <f t="shared" si="29"/>
        <v/>
      </c>
      <c r="P247" t="str">
        <f t="shared" si="30"/>
        <v/>
      </c>
    </row>
    <row r="248" spans="1:16" x14ac:dyDescent="0.3">
      <c r="A248" s="1">
        <v>1246</v>
      </c>
      <c r="B248" s="2">
        <v>41422.680119966608</v>
      </c>
      <c r="C248" s="1">
        <v>7</v>
      </c>
      <c r="D248" s="1">
        <v>63</v>
      </c>
      <c r="E248">
        <f t="shared" si="24"/>
        <v>1</v>
      </c>
      <c r="F248" s="13">
        <f t="shared" si="25"/>
        <v>1</v>
      </c>
      <c r="G248" s="13">
        <f t="shared" si="26"/>
        <v>4</v>
      </c>
      <c r="H248" s="15" t="str">
        <f t="shared" si="27"/>
        <v/>
      </c>
      <c r="I248" s="14" t="str">
        <f t="shared" si="28"/>
        <v>Upsell</v>
      </c>
      <c r="J248" s="16" t="str">
        <f t="shared" si="29"/>
        <v/>
      </c>
      <c r="P248" t="str">
        <f t="shared" si="30"/>
        <v>Upsell</v>
      </c>
    </row>
    <row r="249" spans="1:16" x14ac:dyDescent="0.3">
      <c r="A249" s="1">
        <v>1247</v>
      </c>
      <c r="B249" s="2">
        <v>41392.354763255455</v>
      </c>
      <c r="C249" s="1">
        <v>8</v>
      </c>
      <c r="D249" s="1">
        <v>176</v>
      </c>
      <c r="E249">
        <f t="shared" si="24"/>
        <v>1</v>
      </c>
      <c r="F249" s="13">
        <f t="shared" si="25"/>
        <v>1</v>
      </c>
      <c r="G249" s="13">
        <f t="shared" si="26"/>
        <v>3</v>
      </c>
      <c r="H249" s="15" t="str">
        <f t="shared" si="27"/>
        <v/>
      </c>
      <c r="I249" s="14" t="str">
        <f t="shared" si="28"/>
        <v/>
      </c>
      <c r="J249" s="16" t="str">
        <f t="shared" si="29"/>
        <v/>
      </c>
      <c r="P249" t="str">
        <f t="shared" si="30"/>
        <v/>
      </c>
    </row>
    <row r="250" spans="1:16" x14ac:dyDescent="0.3">
      <c r="A250" s="1">
        <v>1248</v>
      </c>
      <c r="B250" s="2">
        <v>41131.994257714199</v>
      </c>
      <c r="C250" s="1">
        <v>8</v>
      </c>
      <c r="D250" s="1">
        <v>192</v>
      </c>
      <c r="E250">
        <f t="shared" si="24"/>
        <v>4</v>
      </c>
      <c r="F250" s="13">
        <f t="shared" si="25"/>
        <v>1</v>
      </c>
      <c r="G250" s="13">
        <f t="shared" si="26"/>
        <v>3</v>
      </c>
      <c r="H250" s="15" t="str">
        <f t="shared" si="27"/>
        <v/>
      </c>
      <c r="I250" s="14" t="str">
        <f t="shared" si="28"/>
        <v/>
      </c>
      <c r="J250" s="16" t="str">
        <f t="shared" si="29"/>
        <v/>
      </c>
      <c r="P250" t="str">
        <f t="shared" si="30"/>
        <v/>
      </c>
    </row>
    <row r="251" spans="1:16" x14ac:dyDescent="0.3">
      <c r="A251" s="1">
        <v>1249</v>
      </c>
      <c r="B251" s="2">
        <v>41232.945464633216</v>
      </c>
      <c r="C251" s="1">
        <v>6</v>
      </c>
      <c r="D251" s="1">
        <v>174</v>
      </c>
      <c r="E251">
        <f t="shared" si="24"/>
        <v>3</v>
      </c>
      <c r="F251" s="13">
        <f t="shared" si="25"/>
        <v>1</v>
      </c>
      <c r="G251" s="13">
        <f t="shared" si="26"/>
        <v>3</v>
      </c>
      <c r="H251" s="15" t="str">
        <f t="shared" si="27"/>
        <v/>
      </c>
      <c r="I251" s="14" t="str">
        <f t="shared" si="28"/>
        <v/>
      </c>
      <c r="J251" s="16" t="str">
        <f t="shared" si="29"/>
        <v/>
      </c>
      <c r="P251" t="str">
        <f t="shared" si="30"/>
        <v/>
      </c>
    </row>
    <row r="252" spans="1:16" x14ac:dyDescent="0.3">
      <c r="A252" s="1">
        <v>1250</v>
      </c>
      <c r="B252" s="2">
        <v>41422.133214403868</v>
      </c>
      <c r="C252" s="1">
        <v>3</v>
      </c>
      <c r="D252" s="1">
        <v>249</v>
      </c>
      <c r="E252">
        <f t="shared" si="24"/>
        <v>1</v>
      </c>
      <c r="F252" s="13">
        <f t="shared" si="25"/>
        <v>3</v>
      </c>
      <c r="G252" s="13">
        <f t="shared" si="26"/>
        <v>2</v>
      </c>
      <c r="H252" s="15" t="str">
        <f t="shared" si="27"/>
        <v/>
      </c>
      <c r="I252" s="14" t="str">
        <f t="shared" si="28"/>
        <v/>
      </c>
      <c r="J252" s="16" t="str">
        <f t="shared" si="29"/>
        <v/>
      </c>
      <c r="P252" t="str">
        <f t="shared" si="30"/>
        <v/>
      </c>
    </row>
    <row r="253" spans="1:16" x14ac:dyDescent="0.3">
      <c r="A253" s="1">
        <v>1251</v>
      </c>
      <c r="B253" s="2">
        <v>41186.464024920897</v>
      </c>
      <c r="C253" s="1">
        <v>6</v>
      </c>
      <c r="D253" s="1">
        <v>186</v>
      </c>
      <c r="E253">
        <f t="shared" si="24"/>
        <v>3</v>
      </c>
      <c r="F253" s="13">
        <f t="shared" si="25"/>
        <v>1</v>
      </c>
      <c r="G253" s="13">
        <f t="shared" si="26"/>
        <v>3</v>
      </c>
      <c r="H253" s="15" t="str">
        <f t="shared" si="27"/>
        <v/>
      </c>
      <c r="I253" s="14" t="str">
        <f t="shared" si="28"/>
        <v/>
      </c>
      <c r="J253" s="16" t="str">
        <f t="shared" si="29"/>
        <v/>
      </c>
      <c r="P253" t="str">
        <f t="shared" si="30"/>
        <v/>
      </c>
    </row>
    <row r="254" spans="1:16" x14ac:dyDescent="0.3">
      <c r="A254" s="1">
        <v>1252</v>
      </c>
      <c r="B254" s="2">
        <v>41215.483636146135</v>
      </c>
      <c r="C254" s="1">
        <v>6</v>
      </c>
      <c r="D254" s="1">
        <v>222</v>
      </c>
      <c r="E254">
        <f t="shared" si="24"/>
        <v>3</v>
      </c>
      <c r="F254" s="13">
        <f t="shared" si="25"/>
        <v>1</v>
      </c>
      <c r="G254" s="13">
        <f t="shared" si="26"/>
        <v>2</v>
      </c>
      <c r="H254" s="15" t="str">
        <f t="shared" si="27"/>
        <v/>
      </c>
      <c r="I254" s="14" t="str">
        <f t="shared" si="28"/>
        <v/>
      </c>
      <c r="J254" s="16" t="str">
        <f t="shared" si="29"/>
        <v/>
      </c>
      <c r="P254" t="str">
        <f t="shared" si="30"/>
        <v/>
      </c>
    </row>
    <row r="255" spans="1:16" x14ac:dyDescent="0.3">
      <c r="A255" s="1">
        <v>1253</v>
      </c>
      <c r="B255" s="2">
        <v>41244.823502656407</v>
      </c>
      <c r="C255" s="1">
        <v>4</v>
      </c>
      <c r="D255" s="1">
        <v>204</v>
      </c>
      <c r="E255">
        <f t="shared" si="24"/>
        <v>3</v>
      </c>
      <c r="F255" s="13">
        <f t="shared" si="25"/>
        <v>2</v>
      </c>
      <c r="G255" s="13">
        <f t="shared" si="26"/>
        <v>3</v>
      </c>
      <c r="H255" s="15" t="str">
        <f t="shared" si="27"/>
        <v/>
      </c>
      <c r="I255" s="14" t="str">
        <f t="shared" si="28"/>
        <v/>
      </c>
      <c r="J255" s="16" t="str">
        <f t="shared" si="29"/>
        <v/>
      </c>
      <c r="P255" t="str">
        <f t="shared" si="30"/>
        <v/>
      </c>
    </row>
    <row r="256" spans="1:16" x14ac:dyDescent="0.3">
      <c r="A256" s="1">
        <v>1254</v>
      </c>
      <c r="B256" s="2">
        <v>41158.383577342414</v>
      </c>
      <c r="C256" s="1">
        <v>3</v>
      </c>
      <c r="D256" s="1">
        <v>54</v>
      </c>
      <c r="E256">
        <f t="shared" si="24"/>
        <v>4</v>
      </c>
      <c r="F256" s="13">
        <f t="shared" si="25"/>
        <v>3</v>
      </c>
      <c r="G256" s="13">
        <f t="shared" si="26"/>
        <v>4</v>
      </c>
      <c r="H256" s="15" t="str">
        <f t="shared" si="27"/>
        <v/>
      </c>
      <c r="I256" s="14" t="str">
        <f t="shared" si="28"/>
        <v/>
      </c>
      <c r="J256" s="16" t="str">
        <f t="shared" si="29"/>
        <v/>
      </c>
      <c r="P256" t="str">
        <f t="shared" si="30"/>
        <v/>
      </c>
    </row>
    <row r="257" spans="1:16" x14ac:dyDescent="0.3">
      <c r="A257" s="1">
        <v>1255</v>
      </c>
      <c r="B257" s="2">
        <v>41212.442649909877</v>
      </c>
      <c r="C257" s="1">
        <v>3</v>
      </c>
      <c r="D257" s="1">
        <v>21</v>
      </c>
      <c r="E257">
        <f t="shared" si="24"/>
        <v>3</v>
      </c>
      <c r="F257" s="13">
        <f t="shared" si="25"/>
        <v>3</v>
      </c>
      <c r="G257" s="13">
        <f t="shared" si="26"/>
        <v>5</v>
      </c>
      <c r="H257" s="15" t="str">
        <f t="shared" si="27"/>
        <v/>
      </c>
      <c r="I257" s="14" t="str">
        <f t="shared" si="28"/>
        <v/>
      </c>
      <c r="J257" s="16" t="str">
        <f t="shared" si="29"/>
        <v/>
      </c>
      <c r="P257" t="str">
        <f t="shared" si="30"/>
        <v/>
      </c>
    </row>
    <row r="258" spans="1:16" x14ac:dyDescent="0.3">
      <c r="A258" s="1">
        <v>1256</v>
      </c>
      <c r="B258" s="2">
        <v>41386.64128072303</v>
      </c>
      <c r="C258" s="1">
        <v>9</v>
      </c>
      <c r="D258" s="1">
        <v>864</v>
      </c>
      <c r="E258">
        <f t="shared" si="24"/>
        <v>1</v>
      </c>
      <c r="F258" s="13">
        <f t="shared" si="25"/>
        <v>1</v>
      </c>
      <c r="G258" s="13">
        <f t="shared" si="26"/>
        <v>1</v>
      </c>
      <c r="H258" s="15" t="str">
        <f t="shared" si="27"/>
        <v/>
      </c>
      <c r="I258" s="14" t="str">
        <f t="shared" si="28"/>
        <v/>
      </c>
      <c r="J258" s="16" t="str">
        <f t="shared" si="29"/>
        <v/>
      </c>
      <c r="P258" t="str">
        <f t="shared" si="30"/>
        <v/>
      </c>
    </row>
    <row r="259" spans="1:16" x14ac:dyDescent="0.3">
      <c r="A259" s="1">
        <v>1257</v>
      </c>
      <c r="B259" s="2">
        <v>41255.896412322225</v>
      </c>
      <c r="C259" s="1">
        <v>1</v>
      </c>
      <c r="D259" s="1">
        <v>69</v>
      </c>
      <c r="E259">
        <f t="shared" ref="E259:E308" si="31">VLOOKUP(B259,$M$2:$N$6,2,TRUE)</f>
        <v>2</v>
      </c>
      <c r="F259" s="13">
        <f t="shared" ref="F259:F308" si="32">VLOOKUP(C259,$M$9:$N$13,2,TRUE)</f>
        <v>4</v>
      </c>
      <c r="G259" s="13">
        <f t="shared" ref="G259:G308" si="33">VLOOKUP(D259,$M$16:$N$20,2,TRUE)</f>
        <v>4</v>
      </c>
      <c r="H259" s="15" t="str">
        <f t="shared" ref="H259:H308" si="34">IF(AND(E259&gt;3,F259&gt;3,G259&gt;3),"Ignore","")</f>
        <v/>
      </c>
      <c r="I259" s="14" t="str">
        <f t="shared" ref="I259:I308" si="35">IF(AND(E259&lt;3,F259&lt;3,G259&gt;3),"Upsell","")</f>
        <v/>
      </c>
      <c r="J259" s="16" t="str">
        <f t="shared" ref="J259:J308" si="36">IF(AND(E259&gt;3,F259&lt;3,G259&lt;3),"Contact","")</f>
        <v/>
      </c>
      <c r="P259" t="str">
        <f t="shared" ref="P259:P298" si="37">IF(H259&lt;&gt;"","Ignore", IF(I259&lt;&gt;"","Upsell", IF(J259&lt;&gt;"","Contact","")))</f>
        <v/>
      </c>
    </row>
    <row r="260" spans="1:16" x14ac:dyDescent="0.3">
      <c r="A260" s="1">
        <v>1258</v>
      </c>
      <c r="B260" s="2">
        <v>41269.58865184673</v>
      </c>
      <c r="C260" s="1">
        <v>0</v>
      </c>
      <c r="D260" s="1">
        <v>0</v>
      </c>
      <c r="E260">
        <f t="shared" si="31"/>
        <v>2</v>
      </c>
      <c r="F260" s="13">
        <f t="shared" si="32"/>
        <v>4</v>
      </c>
      <c r="G260" s="13">
        <f t="shared" si="33"/>
        <v>5</v>
      </c>
      <c r="H260" s="15" t="str">
        <f t="shared" si="34"/>
        <v/>
      </c>
      <c r="I260" s="14" t="str">
        <f t="shared" si="35"/>
        <v/>
      </c>
      <c r="J260" s="16" t="str">
        <f t="shared" si="36"/>
        <v/>
      </c>
      <c r="P260" t="str">
        <f t="shared" si="37"/>
        <v/>
      </c>
    </row>
    <row r="261" spans="1:16" x14ac:dyDescent="0.3">
      <c r="A261" s="1">
        <v>1259</v>
      </c>
      <c r="B261" s="2">
        <v>41137.608088467641</v>
      </c>
      <c r="C261" s="1">
        <v>6</v>
      </c>
      <c r="D261" s="1">
        <v>336</v>
      </c>
      <c r="E261">
        <f t="shared" si="31"/>
        <v>4</v>
      </c>
      <c r="F261" s="13">
        <f t="shared" si="32"/>
        <v>1</v>
      </c>
      <c r="G261" s="13">
        <f t="shared" si="33"/>
        <v>2</v>
      </c>
      <c r="H261" s="15" t="str">
        <f t="shared" si="34"/>
        <v/>
      </c>
      <c r="I261" s="14" t="str">
        <f t="shared" si="35"/>
        <v/>
      </c>
      <c r="J261" s="16" t="str">
        <f t="shared" si="36"/>
        <v>Contact</v>
      </c>
      <c r="P261" t="str">
        <f t="shared" si="37"/>
        <v>Contact</v>
      </c>
    </row>
    <row r="262" spans="1:16" x14ac:dyDescent="0.3">
      <c r="A262" s="1">
        <v>1260</v>
      </c>
      <c r="B262" s="2">
        <v>41177.843453726317</v>
      </c>
      <c r="C262" s="1">
        <v>2</v>
      </c>
      <c r="D262" s="1">
        <v>42</v>
      </c>
      <c r="E262">
        <f t="shared" si="31"/>
        <v>4</v>
      </c>
      <c r="F262" s="13">
        <f t="shared" si="32"/>
        <v>3</v>
      </c>
      <c r="G262" s="13">
        <f t="shared" si="33"/>
        <v>4</v>
      </c>
      <c r="H262" s="15" t="str">
        <f t="shared" si="34"/>
        <v/>
      </c>
      <c r="I262" s="14" t="str">
        <f t="shared" si="35"/>
        <v/>
      </c>
      <c r="J262" s="16" t="str">
        <f t="shared" si="36"/>
        <v/>
      </c>
      <c r="P262" t="str">
        <f t="shared" si="37"/>
        <v/>
      </c>
    </row>
    <row r="263" spans="1:16" x14ac:dyDescent="0.3">
      <c r="A263" s="1">
        <v>1261</v>
      </c>
      <c r="B263" s="2">
        <v>41421.402307745666</v>
      </c>
      <c r="C263" s="1">
        <v>2</v>
      </c>
      <c r="D263" s="1">
        <v>20</v>
      </c>
      <c r="E263">
        <f t="shared" si="31"/>
        <v>1</v>
      </c>
      <c r="F263" s="13">
        <f t="shared" si="32"/>
        <v>3</v>
      </c>
      <c r="G263" s="13">
        <f t="shared" si="33"/>
        <v>5</v>
      </c>
      <c r="H263" s="15" t="str">
        <f t="shared" si="34"/>
        <v/>
      </c>
      <c r="I263" s="14" t="str">
        <f t="shared" si="35"/>
        <v/>
      </c>
      <c r="J263" s="16" t="str">
        <f t="shared" si="36"/>
        <v/>
      </c>
      <c r="P263" t="str">
        <f t="shared" si="37"/>
        <v/>
      </c>
    </row>
    <row r="264" spans="1:16" x14ac:dyDescent="0.3">
      <c r="A264" s="1">
        <v>1262</v>
      </c>
      <c r="B264" s="2">
        <v>41226.580525499041</v>
      </c>
      <c r="C264" s="1">
        <v>8</v>
      </c>
      <c r="D264" s="1">
        <v>480</v>
      </c>
      <c r="E264">
        <f t="shared" si="31"/>
        <v>3</v>
      </c>
      <c r="F264" s="13">
        <f t="shared" si="32"/>
        <v>1</v>
      </c>
      <c r="G264" s="13">
        <f t="shared" si="33"/>
        <v>1</v>
      </c>
      <c r="H264" s="15" t="str">
        <f t="shared" si="34"/>
        <v/>
      </c>
      <c r="I264" s="14" t="str">
        <f t="shared" si="35"/>
        <v/>
      </c>
      <c r="J264" s="16" t="str">
        <f t="shared" si="36"/>
        <v/>
      </c>
      <c r="P264" t="str">
        <f t="shared" si="37"/>
        <v/>
      </c>
    </row>
    <row r="265" spans="1:16" x14ac:dyDescent="0.3">
      <c r="A265" s="1">
        <v>1263</v>
      </c>
      <c r="B265" s="2">
        <v>41176.732122746325</v>
      </c>
      <c r="C265" s="1">
        <v>4</v>
      </c>
      <c r="D265" s="1">
        <v>252</v>
      </c>
      <c r="E265">
        <f t="shared" si="31"/>
        <v>4</v>
      </c>
      <c r="F265" s="13">
        <f t="shared" si="32"/>
        <v>2</v>
      </c>
      <c r="G265" s="13">
        <f t="shared" si="33"/>
        <v>2</v>
      </c>
      <c r="H265" s="15" t="str">
        <f t="shared" si="34"/>
        <v/>
      </c>
      <c r="I265" s="14" t="str">
        <f t="shared" si="35"/>
        <v/>
      </c>
      <c r="J265" s="16" t="str">
        <f t="shared" si="36"/>
        <v>Contact</v>
      </c>
      <c r="P265" t="str">
        <f t="shared" si="37"/>
        <v>Contact</v>
      </c>
    </row>
    <row r="266" spans="1:16" x14ac:dyDescent="0.3">
      <c r="A266" s="1">
        <v>1264</v>
      </c>
      <c r="B266" s="2">
        <v>41302.422793930651</v>
      </c>
      <c r="C266" s="1">
        <v>5</v>
      </c>
      <c r="D266" s="1">
        <v>330</v>
      </c>
      <c r="E266">
        <f t="shared" si="31"/>
        <v>2</v>
      </c>
      <c r="F266" s="13">
        <f t="shared" si="32"/>
        <v>2</v>
      </c>
      <c r="G266" s="13">
        <f t="shared" si="33"/>
        <v>2</v>
      </c>
      <c r="H266" s="15" t="str">
        <f t="shared" si="34"/>
        <v/>
      </c>
      <c r="I266" s="14" t="str">
        <f t="shared" si="35"/>
        <v/>
      </c>
      <c r="J266" s="16" t="str">
        <f t="shared" si="36"/>
        <v/>
      </c>
      <c r="P266" t="str">
        <f t="shared" si="37"/>
        <v/>
      </c>
    </row>
    <row r="267" spans="1:16" x14ac:dyDescent="0.3">
      <c r="A267" s="1">
        <v>1265</v>
      </c>
      <c r="B267" s="2">
        <v>41231.460259083164</v>
      </c>
      <c r="C267" s="1">
        <v>2</v>
      </c>
      <c r="D267" s="1">
        <v>140</v>
      </c>
      <c r="E267">
        <f t="shared" si="31"/>
        <v>3</v>
      </c>
      <c r="F267" s="13">
        <f t="shared" si="32"/>
        <v>3</v>
      </c>
      <c r="G267" s="13">
        <f t="shared" si="33"/>
        <v>3</v>
      </c>
      <c r="H267" s="15" t="str">
        <f t="shared" si="34"/>
        <v/>
      </c>
      <c r="I267" s="14" t="str">
        <f t="shared" si="35"/>
        <v/>
      </c>
      <c r="J267" s="16" t="str">
        <f t="shared" si="36"/>
        <v/>
      </c>
      <c r="P267" t="str">
        <f t="shared" si="37"/>
        <v/>
      </c>
    </row>
    <row r="268" spans="1:16" x14ac:dyDescent="0.3">
      <c r="A268" s="1">
        <v>1266</v>
      </c>
      <c r="B268" s="2">
        <v>41310.900682944208</v>
      </c>
      <c r="C268" s="1">
        <v>9</v>
      </c>
      <c r="D268" s="1">
        <v>801</v>
      </c>
      <c r="E268">
        <f t="shared" si="31"/>
        <v>1</v>
      </c>
      <c r="F268" s="13">
        <f t="shared" si="32"/>
        <v>1</v>
      </c>
      <c r="G268" s="13">
        <f t="shared" si="33"/>
        <v>1</v>
      </c>
      <c r="H268" s="15" t="str">
        <f t="shared" si="34"/>
        <v/>
      </c>
      <c r="I268" s="14" t="str">
        <f t="shared" si="35"/>
        <v/>
      </c>
      <c r="J268" s="16" t="str">
        <f t="shared" si="36"/>
        <v/>
      </c>
      <c r="P268" t="str">
        <f t="shared" si="37"/>
        <v/>
      </c>
    </row>
    <row r="269" spans="1:16" x14ac:dyDescent="0.3">
      <c r="A269" s="1">
        <v>1267</v>
      </c>
      <c r="B269" s="2">
        <v>41419.562778391199</v>
      </c>
      <c r="C269" s="1">
        <v>0</v>
      </c>
      <c r="D269" s="1">
        <v>0</v>
      </c>
      <c r="E269">
        <f t="shared" si="31"/>
        <v>1</v>
      </c>
      <c r="F269" s="13">
        <f t="shared" si="32"/>
        <v>4</v>
      </c>
      <c r="G269" s="13">
        <f t="shared" si="33"/>
        <v>5</v>
      </c>
      <c r="H269" s="15" t="str">
        <f t="shared" si="34"/>
        <v/>
      </c>
      <c r="I269" s="14" t="str">
        <f t="shared" si="35"/>
        <v/>
      </c>
      <c r="J269" s="16" t="str">
        <f t="shared" si="36"/>
        <v/>
      </c>
      <c r="P269" t="str">
        <f t="shared" si="37"/>
        <v/>
      </c>
    </row>
    <row r="270" spans="1:16" x14ac:dyDescent="0.3">
      <c r="A270" s="1">
        <v>1268</v>
      </c>
      <c r="B270" s="2">
        <v>41142.935996934197</v>
      </c>
      <c r="C270" s="1">
        <v>9</v>
      </c>
      <c r="D270" s="1">
        <v>828</v>
      </c>
      <c r="E270">
        <f t="shared" si="31"/>
        <v>4</v>
      </c>
      <c r="F270" s="13">
        <f t="shared" si="32"/>
        <v>1</v>
      </c>
      <c r="G270" s="13">
        <f t="shared" si="33"/>
        <v>1</v>
      </c>
      <c r="H270" s="15" t="str">
        <f t="shared" si="34"/>
        <v/>
      </c>
      <c r="I270" s="14" t="str">
        <f t="shared" si="35"/>
        <v/>
      </c>
      <c r="J270" s="16" t="str">
        <f t="shared" si="36"/>
        <v>Contact</v>
      </c>
      <c r="P270" t="str">
        <f t="shared" si="37"/>
        <v>Contact</v>
      </c>
    </row>
    <row r="271" spans="1:16" x14ac:dyDescent="0.3">
      <c r="A271" s="1">
        <v>1269</v>
      </c>
      <c r="B271" s="2">
        <v>41396.903419688068</v>
      </c>
      <c r="C271" s="1">
        <v>4</v>
      </c>
      <c r="D271" s="1">
        <v>44</v>
      </c>
      <c r="E271">
        <f t="shared" si="31"/>
        <v>1</v>
      </c>
      <c r="F271" s="13">
        <f t="shared" si="32"/>
        <v>2</v>
      </c>
      <c r="G271" s="13">
        <f t="shared" si="33"/>
        <v>4</v>
      </c>
      <c r="H271" s="15" t="str">
        <f t="shared" si="34"/>
        <v/>
      </c>
      <c r="I271" s="14" t="str">
        <f t="shared" si="35"/>
        <v>Upsell</v>
      </c>
      <c r="J271" s="16" t="str">
        <f t="shared" si="36"/>
        <v/>
      </c>
      <c r="P271" t="str">
        <f t="shared" si="37"/>
        <v>Upsell</v>
      </c>
    </row>
    <row r="272" spans="1:16" x14ac:dyDescent="0.3">
      <c r="A272" s="1">
        <v>1270</v>
      </c>
      <c r="B272" s="2">
        <v>41418.039312096174</v>
      </c>
      <c r="C272" s="1">
        <v>4</v>
      </c>
      <c r="D272" s="1">
        <v>344</v>
      </c>
      <c r="E272">
        <f t="shared" si="31"/>
        <v>1</v>
      </c>
      <c r="F272" s="13">
        <f t="shared" si="32"/>
        <v>2</v>
      </c>
      <c r="G272" s="13">
        <f t="shared" si="33"/>
        <v>2</v>
      </c>
      <c r="H272" s="15" t="str">
        <f t="shared" si="34"/>
        <v/>
      </c>
      <c r="I272" s="14" t="str">
        <f t="shared" si="35"/>
        <v/>
      </c>
      <c r="J272" s="16" t="str">
        <f t="shared" si="36"/>
        <v/>
      </c>
      <c r="P272" t="str">
        <f t="shared" si="37"/>
        <v/>
      </c>
    </row>
    <row r="273" spans="1:16" x14ac:dyDescent="0.3">
      <c r="A273" s="1">
        <v>1271</v>
      </c>
      <c r="B273" s="2">
        <v>41240.089761329902</v>
      </c>
      <c r="C273" s="1">
        <v>0</v>
      </c>
      <c r="D273" s="1">
        <v>0</v>
      </c>
      <c r="E273">
        <f t="shared" si="31"/>
        <v>3</v>
      </c>
      <c r="F273" s="13">
        <f t="shared" si="32"/>
        <v>4</v>
      </c>
      <c r="G273" s="13">
        <f t="shared" si="33"/>
        <v>5</v>
      </c>
      <c r="H273" s="15" t="str">
        <f t="shared" si="34"/>
        <v/>
      </c>
      <c r="I273" s="14" t="str">
        <f t="shared" si="35"/>
        <v/>
      </c>
      <c r="J273" s="16" t="str">
        <f t="shared" si="36"/>
        <v/>
      </c>
      <c r="P273" t="str">
        <f t="shared" si="37"/>
        <v/>
      </c>
    </row>
    <row r="274" spans="1:16" x14ac:dyDescent="0.3">
      <c r="A274" s="1">
        <v>1272</v>
      </c>
      <c r="B274" s="2">
        <v>41242.867340500343</v>
      </c>
      <c r="C274" s="1">
        <v>3</v>
      </c>
      <c r="D274" s="1">
        <v>162</v>
      </c>
      <c r="E274">
        <f t="shared" si="31"/>
        <v>3</v>
      </c>
      <c r="F274" s="13">
        <f t="shared" si="32"/>
        <v>3</v>
      </c>
      <c r="G274" s="13">
        <f t="shared" si="33"/>
        <v>3</v>
      </c>
      <c r="H274" s="15" t="str">
        <f t="shared" si="34"/>
        <v/>
      </c>
      <c r="I274" s="14" t="str">
        <f t="shared" si="35"/>
        <v/>
      </c>
      <c r="J274" s="16" t="str">
        <f t="shared" si="36"/>
        <v/>
      </c>
      <c r="P274" t="str">
        <f t="shared" si="37"/>
        <v/>
      </c>
    </row>
    <row r="275" spans="1:16" x14ac:dyDescent="0.3">
      <c r="A275" s="1">
        <v>1273</v>
      </c>
      <c r="B275" s="2">
        <v>41424.319571732951</v>
      </c>
      <c r="C275" s="1">
        <v>5</v>
      </c>
      <c r="D275" s="1">
        <v>475</v>
      </c>
      <c r="E275">
        <f t="shared" si="31"/>
        <v>1</v>
      </c>
      <c r="F275" s="13">
        <f t="shared" si="32"/>
        <v>2</v>
      </c>
      <c r="G275" s="13">
        <f t="shared" si="33"/>
        <v>1</v>
      </c>
      <c r="H275" s="15" t="str">
        <f t="shared" si="34"/>
        <v/>
      </c>
      <c r="I275" s="14" t="str">
        <f t="shared" si="35"/>
        <v/>
      </c>
      <c r="J275" s="16" t="str">
        <f t="shared" si="36"/>
        <v/>
      </c>
      <c r="P275" t="str">
        <f t="shared" si="37"/>
        <v/>
      </c>
    </row>
    <row r="276" spans="1:16" x14ac:dyDescent="0.3">
      <c r="A276" s="1">
        <v>1274</v>
      </c>
      <c r="B276" s="2">
        <v>41234.359392264523</v>
      </c>
      <c r="C276" s="1">
        <v>8</v>
      </c>
      <c r="D276" s="1">
        <v>352</v>
      </c>
      <c r="E276">
        <f t="shared" si="31"/>
        <v>3</v>
      </c>
      <c r="F276" s="13">
        <f t="shared" si="32"/>
        <v>1</v>
      </c>
      <c r="G276" s="13">
        <f t="shared" si="33"/>
        <v>2</v>
      </c>
      <c r="H276" s="15" t="str">
        <f t="shared" si="34"/>
        <v/>
      </c>
      <c r="I276" s="14" t="str">
        <f t="shared" si="35"/>
        <v/>
      </c>
      <c r="J276" s="16" t="str">
        <f t="shared" si="36"/>
        <v/>
      </c>
      <c r="P276" t="str">
        <f t="shared" si="37"/>
        <v/>
      </c>
    </row>
    <row r="277" spans="1:16" x14ac:dyDescent="0.3">
      <c r="A277" s="1">
        <v>1275</v>
      </c>
      <c r="B277" s="2">
        <v>41416.799278718543</v>
      </c>
      <c r="C277" s="1">
        <v>4</v>
      </c>
      <c r="D277" s="1">
        <v>188</v>
      </c>
      <c r="E277">
        <f t="shared" si="31"/>
        <v>1</v>
      </c>
      <c r="F277" s="13">
        <f t="shared" si="32"/>
        <v>2</v>
      </c>
      <c r="G277" s="13">
        <f t="shared" si="33"/>
        <v>3</v>
      </c>
      <c r="H277" s="15" t="str">
        <f t="shared" si="34"/>
        <v/>
      </c>
      <c r="I277" s="14" t="str">
        <f t="shared" si="35"/>
        <v/>
      </c>
      <c r="J277" s="16" t="str">
        <f t="shared" si="36"/>
        <v/>
      </c>
      <c r="P277" t="str">
        <f t="shared" si="37"/>
        <v/>
      </c>
    </row>
    <row r="278" spans="1:16" x14ac:dyDescent="0.3">
      <c r="A278" s="1">
        <v>1276</v>
      </c>
      <c r="B278" s="2">
        <v>41206.040853250706</v>
      </c>
      <c r="C278" s="1">
        <v>3</v>
      </c>
      <c r="D278" s="1">
        <v>57</v>
      </c>
      <c r="E278">
        <f t="shared" si="31"/>
        <v>3</v>
      </c>
      <c r="F278" s="13">
        <f t="shared" si="32"/>
        <v>3</v>
      </c>
      <c r="G278" s="13">
        <f t="shared" si="33"/>
        <v>4</v>
      </c>
      <c r="H278" s="15" t="str">
        <f t="shared" si="34"/>
        <v/>
      </c>
      <c r="I278" s="14" t="str">
        <f t="shared" si="35"/>
        <v/>
      </c>
      <c r="J278" s="16" t="str">
        <f t="shared" si="36"/>
        <v/>
      </c>
      <c r="P278" t="str">
        <f t="shared" si="37"/>
        <v/>
      </c>
    </row>
    <row r="279" spans="1:16" x14ac:dyDescent="0.3">
      <c r="A279" s="1">
        <v>1277</v>
      </c>
      <c r="B279" s="2">
        <v>41336.795653983594</v>
      </c>
      <c r="C279" s="1">
        <v>8</v>
      </c>
      <c r="D279" s="1">
        <v>424</v>
      </c>
      <c r="E279">
        <f t="shared" si="31"/>
        <v>1</v>
      </c>
      <c r="F279" s="13">
        <f t="shared" si="32"/>
        <v>1</v>
      </c>
      <c r="G279" s="13">
        <f t="shared" si="33"/>
        <v>2</v>
      </c>
      <c r="H279" s="15" t="str">
        <f t="shared" si="34"/>
        <v/>
      </c>
      <c r="I279" s="14" t="str">
        <f t="shared" si="35"/>
        <v/>
      </c>
      <c r="J279" s="16" t="str">
        <f t="shared" si="36"/>
        <v/>
      </c>
      <c r="P279" t="str">
        <f t="shared" si="37"/>
        <v/>
      </c>
    </row>
    <row r="280" spans="1:16" x14ac:dyDescent="0.3">
      <c r="A280" s="1">
        <v>1278</v>
      </c>
      <c r="B280" s="2">
        <v>41314.099068899675</v>
      </c>
      <c r="C280" s="1">
        <v>9</v>
      </c>
      <c r="D280" s="1">
        <v>342</v>
      </c>
      <c r="E280">
        <f t="shared" si="31"/>
        <v>1</v>
      </c>
      <c r="F280" s="13">
        <f t="shared" si="32"/>
        <v>1</v>
      </c>
      <c r="G280" s="13">
        <f t="shared" si="33"/>
        <v>2</v>
      </c>
      <c r="H280" s="15" t="str">
        <f t="shared" si="34"/>
        <v/>
      </c>
      <c r="I280" s="14" t="str">
        <f t="shared" si="35"/>
        <v/>
      </c>
      <c r="J280" s="16" t="str">
        <f t="shared" si="36"/>
        <v/>
      </c>
      <c r="P280" t="str">
        <f t="shared" si="37"/>
        <v/>
      </c>
    </row>
    <row r="281" spans="1:16" x14ac:dyDescent="0.3">
      <c r="A281" s="1">
        <v>1279</v>
      </c>
      <c r="B281" s="2">
        <v>41415.751530212969</v>
      </c>
      <c r="C281" s="1">
        <v>7</v>
      </c>
      <c r="D281" s="1">
        <v>7</v>
      </c>
      <c r="E281">
        <f t="shared" si="31"/>
        <v>1</v>
      </c>
      <c r="F281" s="13">
        <f t="shared" si="32"/>
        <v>1</v>
      </c>
      <c r="G281" s="13">
        <f t="shared" si="33"/>
        <v>5</v>
      </c>
      <c r="H281" s="15" t="str">
        <f t="shared" si="34"/>
        <v/>
      </c>
      <c r="I281" s="14" t="str">
        <f t="shared" si="35"/>
        <v>Upsell</v>
      </c>
      <c r="J281" s="16" t="str">
        <f t="shared" si="36"/>
        <v/>
      </c>
      <c r="P281" t="str">
        <f t="shared" si="37"/>
        <v>Upsell</v>
      </c>
    </row>
    <row r="282" spans="1:16" x14ac:dyDescent="0.3">
      <c r="A282" s="1">
        <v>1280</v>
      </c>
      <c r="B282" s="2">
        <v>41217.278331649104</v>
      </c>
      <c r="C282" s="1">
        <v>4</v>
      </c>
      <c r="D282" s="1">
        <v>352</v>
      </c>
      <c r="E282">
        <f t="shared" si="31"/>
        <v>3</v>
      </c>
      <c r="F282" s="13">
        <f t="shared" si="32"/>
        <v>2</v>
      </c>
      <c r="G282" s="13">
        <f t="shared" si="33"/>
        <v>2</v>
      </c>
      <c r="H282" s="15" t="str">
        <f t="shared" si="34"/>
        <v/>
      </c>
      <c r="I282" s="14" t="str">
        <f t="shared" si="35"/>
        <v/>
      </c>
      <c r="J282" s="16" t="str">
        <f t="shared" si="36"/>
        <v/>
      </c>
      <c r="P282" t="str">
        <f t="shared" si="37"/>
        <v/>
      </c>
    </row>
    <row r="283" spans="1:16" x14ac:dyDescent="0.3">
      <c r="A283" s="1">
        <v>1281</v>
      </c>
      <c r="B283" s="2">
        <v>41420.660611054715</v>
      </c>
      <c r="C283" s="1">
        <v>5</v>
      </c>
      <c r="D283" s="1">
        <v>330</v>
      </c>
      <c r="E283">
        <f t="shared" si="31"/>
        <v>1</v>
      </c>
      <c r="F283" s="13">
        <f t="shared" si="32"/>
        <v>2</v>
      </c>
      <c r="G283" s="13">
        <f t="shared" si="33"/>
        <v>2</v>
      </c>
      <c r="H283" s="15" t="str">
        <f t="shared" si="34"/>
        <v/>
      </c>
      <c r="I283" s="14" t="str">
        <f t="shared" si="35"/>
        <v/>
      </c>
      <c r="J283" s="16" t="str">
        <f t="shared" si="36"/>
        <v/>
      </c>
      <c r="P283" t="str">
        <f t="shared" si="37"/>
        <v/>
      </c>
    </row>
    <row r="284" spans="1:16" x14ac:dyDescent="0.3">
      <c r="A284" s="1">
        <v>1282</v>
      </c>
      <c r="B284" s="2">
        <v>41206.296286413322</v>
      </c>
      <c r="C284" s="1">
        <v>2</v>
      </c>
      <c r="D284" s="1">
        <v>46</v>
      </c>
      <c r="E284">
        <f t="shared" si="31"/>
        <v>3</v>
      </c>
      <c r="F284" s="13">
        <f t="shared" si="32"/>
        <v>3</v>
      </c>
      <c r="G284" s="13">
        <f t="shared" si="33"/>
        <v>4</v>
      </c>
      <c r="H284" s="15" t="str">
        <f t="shared" si="34"/>
        <v/>
      </c>
      <c r="I284" s="14" t="str">
        <f t="shared" si="35"/>
        <v/>
      </c>
      <c r="J284" s="16" t="str">
        <f t="shared" si="36"/>
        <v/>
      </c>
      <c r="P284" t="str">
        <f t="shared" si="37"/>
        <v/>
      </c>
    </row>
    <row r="285" spans="1:16" x14ac:dyDescent="0.3">
      <c r="A285" s="1">
        <v>1283</v>
      </c>
      <c r="B285" s="2">
        <v>41226.872814374001</v>
      </c>
      <c r="C285" s="1">
        <v>9</v>
      </c>
      <c r="D285" s="1">
        <v>432</v>
      </c>
      <c r="E285">
        <f t="shared" si="31"/>
        <v>3</v>
      </c>
      <c r="F285" s="13">
        <f t="shared" si="32"/>
        <v>1</v>
      </c>
      <c r="G285" s="13">
        <f t="shared" si="33"/>
        <v>1</v>
      </c>
      <c r="H285" s="15" t="str">
        <f t="shared" si="34"/>
        <v/>
      </c>
      <c r="I285" s="14" t="str">
        <f t="shared" si="35"/>
        <v/>
      </c>
      <c r="J285" s="16" t="str">
        <f t="shared" si="36"/>
        <v/>
      </c>
      <c r="P285" t="str">
        <f t="shared" si="37"/>
        <v/>
      </c>
    </row>
    <row r="286" spans="1:16" x14ac:dyDescent="0.3">
      <c r="A286" s="1">
        <v>1284</v>
      </c>
      <c r="B286" s="2">
        <v>41164.910909474864</v>
      </c>
      <c r="C286" s="1">
        <v>2</v>
      </c>
      <c r="D286" s="1">
        <v>72</v>
      </c>
      <c r="E286">
        <f t="shared" si="31"/>
        <v>4</v>
      </c>
      <c r="F286" s="13">
        <f t="shared" si="32"/>
        <v>3</v>
      </c>
      <c r="G286" s="13">
        <f t="shared" si="33"/>
        <v>4</v>
      </c>
      <c r="H286" s="15" t="str">
        <f t="shared" si="34"/>
        <v/>
      </c>
      <c r="I286" s="14" t="str">
        <f t="shared" si="35"/>
        <v/>
      </c>
      <c r="J286" s="16" t="str">
        <f t="shared" si="36"/>
        <v/>
      </c>
      <c r="P286" t="str">
        <f t="shared" si="37"/>
        <v/>
      </c>
    </row>
    <row r="287" spans="1:16" x14ac:dyDescent="0.3">
      <c r="A287" s="1">
        <v>1285</v>
      </c>
      <c r="B287" s="2">
        <v>41308.495052288876</v>
      </c>
      <c r="C287" s="1">
        <v>9</v>
      </c>
      <c r="D287" s="1">
        <v>621</v>
      </c>
      <c r="E287">
        <f t="shared" si="31"/>
        <v>1</v>
      </c>
      <c r="F287" s="13">
        <f t="shared" si="32"/>
        <v>1</v>
      </c>
      <c r="G287" s="13">
        <f t="shared" si="33"/>
        <v>1</v>
      </c>
      <c r="H287" s="15" t="str">
        <f t="shared" si="34"/>
        <v/>
      </c>
      <c r="I287" s="14" t="str">
        <f t="shared" si="35"/>
        <v/>
      </c>
      <c r="J287" s="16" t="str">
        <f t="shared" si="36"/>
        <v/>
      </c>
      <c r="P287" t="str">
        <f t="shared" si="37"/>
        <v/>
      </c>
    </row>
    <row r="288" spans="1:16" x14ac:dyDescent="0.3">
      <c r="A288" s="1">
        <v>1286</v>
      </c>
      <c r="B288" s="2">
        <v>41183.131232481872</v>
      </c>
      <c r="C288" s="1">
        <v>0</v>
      </c>
      <c r="D288" s="1">
        <v>0</v>
      </c>
      <c r="E288">
        <f t="shared" si="31"/>
        <v>3</v>
      </c>
      <c r="F288" s="13">
        <f t="shared" si="32"/>
        <v>4</v>
      </c>
      <c r="G288" s="13">
        <f t="shared" si="33"/>
        <v>5</v>
      </c>
      <c r="H288" s="15" t="str">
        <f t="shared" si="34"/>
        <v/>
      </c>
      <c r="I288" s="14" t="str">
        <f t="shared" si="35"/>
        <v/>
      </c>
      <c r="J288" s="16" t="str">
        <f t="shared" si="36"/>
        <v/>
      </c>
      <c r="P288" t="str">
        <f t="shared" si="37"/>
        <v/>
      </c>
    </row>
    <row r="289" spans="1:16" x14ac:dyDescent="0.3">
      <c r="A289" s="1">
        <v>1287</v>
      </c>
      <c r="B289" s="2">
        <v>41388.372402388639</v>
      </c>
      <c r="C289" s="1">
        <v>2</v>
      </c>
      <c r="D289" s="1">
        <v>24</v>
      </c>
      <c r="E289">
        <f t="shared" si="31"/>
        <v>1</v>
      </c>
      <c r="F289" s="13">
        <f t="shared" si="32"/>
        <v>3</v>
      </c>
      <c r="G289" s="13">
        <f t="shared" si="33"/>
        <v>5</v>
      </c>
      <c r="H289" s="15" t="str">
        <f t="shared" si="34"/>
        <v/>
      </c>
      <c r="I289" s="14" t="str">
        <f t="shared" si="35"/>
        <v/>
      </c>
      <c r="J289" s="16" t="str">
        <f t="shared" si="36"/>
        <v/>
      </c>
      <c r="P289" t="str">
        <f t="shared" si="37"/>
        <v/>
      </c>
    </row>
    <row r="290" spans="1:16" x14ac:dyDescent="0.3">
      <c r="A290" s="1">
        <v>1288</v>
      </c>
      <c r="B290" s="2">
        <v>41161.454754533945</v>
      </c>
      <c r="C290" s="1">
        <v>7</v>
      </c>
      <c r="D290" s="1">
        <v>469</v>
      </c>
      <c r="E290">
        <f t="shared" si="31"/>
        <v>4</v>
      </c>
      <c r="F290" s="13">
        <f t="shared" si="32"/>
        <v>1</v>
      </c>
      <c r="G290" s="13">
        <f t="shared" si="33"/>
        <v>1</v>
      </c>
      <c r="H290" s="15" t="str">
        <f t="shared" si="34"/>
        <v/>
      </c>
      <c r="I290" s="14" t="str">
        <f t="shared" si="35"/>
        <v/>
      </c>
      <c r="J290" s="16" t="str">
        <f t="shared" si="36"/>
        <v>Contact</v>
      </c>
      <c r="P290" t="str">
        <f t="shared" si="37"/>
        <v>Contact</v>
      </c>
    </row>
    <row r="291" spans="1:16" x14ac:dyDescent="0.3">
      <c r="A291" s="1">
        <v>1289</v>
      </c>
      <c r="B291" s="2">
        <v>41414.022680702205</v>
      </c>
      <c r="C291" s="1">
        <v>2</v>
      </c>
      <c r="D291" s="1">
        <v>150</v>
      </c>
      <c r="E291">
        <f t="shared" si="31"/>
        <v>1</v>
      </c>
      <c r="F291" s="13">
        <f t="shared" si="32"/>
        <v>3</v>
      </c>
      <c r="G291" s="13">
        <f t="shared" si="33"/>
        <v>3</v>
      </c>
      <c r="H291" s="15" t="str">
        <f t="shared" si="34"/>
        <v/>
      </c>
      <c r="I291" s="14" t="str">
        <f t="shared" si="35"/>
        <v/>
      </c>
      <c r="J291" s="16" t="str">
        <f t="shared" si="36"/>
        <v/>
      </c>
      <c r="P291" t="str">
        <f t="shared" si="37"/>
        <v/>
      </c>
    </row>
    <row r="292" spans="1:16" x14ac:dyDescent="0.3">
      <c r="A292" s="1">
        <v>1290</v>
      </c>
      <c r="B292" s="2">
        <v>41255.442216751391</v>
      </c>
      <c r="C292" s="1">
        <v>0</v>
      </c>
      <c r="D292" s="1">
        <v>0</v>
      </c>
      <c r="E292">
        <f t="shared" si="31"/>
        <v>2</v>
      </c>
      <c r="F292" s="13">
        <f t="shared" si="32"/>
        <v>4</v>
      </c>
      <c r="G292" s="13">
        <f t="shared" si="33"/>
        <v>5</v>
      </c>
      <c r="H292" s="15" t="str">
        <f t="shared" si="34"/>
        <v/>
      </c>
      <c r="I292" s="14" t="str">
        <f t="shared" si="35"/>
        <v/>
      </c>
      <c r="J292" s="16" t="str">
        <f t="shared" si="36"/>
        <v/>
      </c>
      <c r="P292" t="str">
        <f t="shared" si="37"/>
        <v/>
      </c>
    </row>
    <row r="293" spans="1:16" x14ac:dyDescent="0.3">
      <c r="A293" s="1">
        <v>1291</v>
      </c>
      <c r="B293" s="2">
        <v>41332.344186267881</v>
      </c>
      <c r="C293" s="1">
        <v>8</v>
      </c>
      <c r="D293" s="1">
        <v>192</v>
      </c>
      <c r="E293">
        <f t="shared" si="31"/>
        <v>1</v>
      </c>
      <c r="F293" s="13">
        <f t="shared" si="32"/>
        <v>1</v>
      </c>
      <c r="G293" s="13">
        <f t="shared" si="33"/>
        <v>3</v>
      </c>
      <c r="H293" s="15" t="str">
        <f t="shared" si="34"/>
        <v/>
      </c>
      <c r="I293" s="14" t="str">
        <f t="shared" si="35"/>
        <v/>
      </c>
      <c r="J293" s="16" t="str">
        <f t="shared" si="36"/>
        <v/>
      </c>
      <c r="P293" t="str">
        <f t="shared" si="37"/>
        <v/>
      </c>
    </row>
    <row r="294" spans="1:16" x14ac:dyDescent="0.3">
      <c r="A294" s="1">
        <v>1292</v>
      </c>
      <c r="B294" s="2">
        <v>41164.973446926131</v>
      </c>
      <c r="C294" s="1">
        <v>9</v>
      </c>
      <c r="D294" s="1">
        <v>153</v>
      </c>
      <c r="E294">
        <f t="shared" si="31"/>
        <v>4</v>
      </c>
      <c r="F294" s="13">
        <f t="shared" si="32"/>
        <v>1</v>
      </c>
      <c r="G294" s="13">
        <f t="shared" si="33"/>
        <v>3</v>
      </c>
      <c r="H294" s="15" t="str">
        <f t="shared" si="34"/>
        <v/>
      </c>
      <c r="I294" s="14" t="str">
        <f t="shared" si="35"/>
        <v/>
      </c>
      <c r="J294" s="16" t="str">
        <f t="shared" si="36"/>
        <v/>
      </c>
      <c r="P294" t="str">
        <f t="shared" si="37"/>
        <v/>
      </c>
    </row>
    <row r="295" spans="1:16" x14ac:dyDescent="0.3">
      <c r="A295" s="1">
        <v>1293</v>
      </c>
      <c r="B295" s="2">
        <v>41183.287662750663</v>
      </c>
      <c r="C295" s="1">
        <v>1</v>
      </c>
      <c r="D295" s="1">
        <v>35</v>
      </c>
      <c r="E295">
        <f t="shared" si="31"/>
        <v>3</v>
      </c>
      <c r="F295" s="13">
        <f t="shared" si="32"/>
        <v>4</v>
      </c>
      <c r="G295" s="13">
        <f t="shared" si="33"/>
        <v>5</v>
      </c>
      <c r="H295" s="15" t="str">
        <f t="shared" si="34"/>
        <v/>
      </c>
      <c r="I295" s="14" t="str">
        <f t="shared" si="35"/>
        <v/>
      </c>
      <c r="J295" s="16" t="str">
        <f t="shared" si="36"/>
        <v/>
      </c>
      <c r="P295" t="str">
        <f t="shared" si="37"/>
        <v/>
      </c>
    </row>
    <row r="296" spans="1:16" x14ac:dyDescent="0.3">
      <c r="A296" s="1">
        <v>1294</v>
      </c>
      <c r="B296" s="2">
        <v>41414.629342606211</v>
      </c>
      <c r="C296" s="1">
        <v>7</v>
      </c>
      <c r="D296" s="1">
        <v>182</v>
      </c>
      <c r="E296">
        <f t="shared" si="31"/>
        <v>1</v>
      </c>
      <c r="F296" s="13">
        <f t="shared" si="32"/>
        <v>1</v>
      </c>
      <c r="G296" s="13">
        <f t="shared" si="33"/>
        <v>3</v>
      </c>
      <c r="H296" s="15" t="str">
        <f t="shared" si="34"/>
        <v/>
      </c>
      <c r="I296" s="14" t="str">
        <f t="shared" si="35"/>
        <v/>
      </c>
      <c r="J296" s="16" t="str">
        <f t="shared" si="36"/>
        <v/>
      </c>
      <c r="P296" t="str">
        <f t="shared" si="37"/>
        <v/>
      </c>
    </row>
    <row r="297" spans="1:16" x14ac:dyDescent="0.3">
      <c r="A297" s="1">
        <v>1295</v>
      </c>
      <c r="B297" s="2">
        <v>41127.99413994309</v>
      </c>
      <c r="C297" s="1">
        <v>7</v>
      </c>
      <c r="D297" s="1">
        <v>49</v>
      </c>
      <c r="E297">
        <f t="shared" si="31"/>
        <v>4</v>
      </c>
      <c r="F297" s="13">
        <f t="shared" si="32"/>
        <v>1</v>
      </c>
      <c r="G297" s="13">
        <f t="shared" si="33"/>
        <v>4</v>
      </c>
      <c r="H297" s="15" t="str">
        <f t="shared" si="34"/>
        <v/>
      </c>
      <c r="I297" s="14" t="str">
        <f t="shared" si="35"/>
        <v/>
      </c>
      <c r="J297" s="16" t="str">
        <f t="shared" si="36"/>
        <v/>
      </c>
      <c r="P297" t="str">
        <f t="shared" si="37"/>
        <v/>
      </c>
    </row>
    <row r="298" spans="1:16" x14ac:dyDescent="0.3">
      <c r="A298" s="1">
        <v>1296</v>
      </c>
      <c r="B298" s="2">
        <v>41395.347314544822</v>
      </c>
      <c r="C298" s="1">
        <v>3</v>
      </c>
      <c r="D298" s="1">
        <v>219</v>
      </c>
      <c r="E298">
        <f t="shared" si="31"/>
        <v>1</v>
      </c>
      <c r="F298" s="13">
        <f t="shared" si="32"/>
        <v>3</v>
      </c>
      <c r="G298" s="13">
        <f t="shared" si="33"/>
        <v>3</v>
      </c>
      <c r="H298" s="15" t="str">
        <f t="shared" si="34"/>
        <v/>
      </c>
      <c r="I298" s="14" t="str">
        <f t="shared" si="35"/>
        <v/>
      </c>
      <c r="J298" s="16" t="str">
        <f t="shared" si="36"/>
        <v/>
      </c>
      <c r="P298" t="str">
        <f t="shared" si="37"/>
        <v/>
      </c>
    </row>
    <row r="299" spans="1:16" x14ac:dyDescent="0.3">
      <c r="A299" s="1">
        <v>1297</v>
      </c>
      <c r="B299" s="2">
        <v>41148.314687732083</v>
      </c>
      <c r="C299" s="1">
        <v>3</v>
      </c>
      <c r="D299" s="1">
        <v>222</v>
      </c>
      <c r="E299">
        <f t="shared" si="31"/>
        <v>4</v>
      </c>
      <c r="F299" s="13">
        <f t="shared" si="32"/>
        <v>3</v>
      </c>
      <c r="G299" s="13">
        <f t="shared" si="33"/>
        <v>2</v>
      </c>
      <c r="H299" s="15" t="str">
        <f t="shared" si="34"/>
        <v/>
      </c>
      <c r="I299" s="14" t="str">
        <f t="shared" si="35"/>
        <v/>
      </c>
      <c r="J299" s="16" t="str">
        <f t="shared" si="36"/>
        <v/>
      </c>
      <c r="P299" t="str">
        <f>IF(H299&lt;&gt;"","Ignore", IF(I299&lt;&gt;"","Upsell", IF(J299&lt;&gt;"","Contact","")))</f>
        <v/>
      </c>
    </row>
    <row r="300" spans="1:16" x14ac:dyDescent="0.3">
      <c r="A300" s="1">
        <v>1298</v>
      </c>
      <c r="B300" s="2">
        <v>41338.714621626721</v>
      </c>
      <c r="C300" s="1">
        <v>8</v>
      </c>
      <c r="D300" s="1">
        <v>192</v>
      </c>
      <c r="E300">
        <f t="shared" si="31"/>
        <v>1</v>
      </c>
      <c r="F300" s="13">
        <f t="shared" si="32"/>
        <v>1</v>
      </c>
      <c r="G300" s="13">
        <f t="shared" si="33"/>
        <v>3</v>
      </c>
      <c r="H300" s="15" t="str">
        <f t="shared" si="34"/>
        <v/>
      </c>
      <c r="I300" s="14" t="str">
        <f t="shared" si="35"/>
        <v/>
      </c>
      <c r="J300" s="16" t="str">
        <f t="shared" si="36"/>
        <v/>
      </c>
      <c r="P300" t="str">
        <f t="shared" ref="P300:P308" si="38">IF(H300&lt;&gt;"","Ignore", IF(I300&lt;&gt;"","Upsell", IF(J300&lt;&gt;"","Contact","")))</f>
        <v/>
      </c>
    </row>
    <row r="301" spans="1:16" x14ac:dyDescent="0.3">
      <c r="A301" s="1">
        <v>1299</v>
      </c>
      <c r="B301" s="2">
        <v>41237.517026088484</v>
      </c>
      <c r="C301" s="1">
        <v>6</v>
      </c>
      <c r="D301" s="1">
        <v>414</v>
      </c>
      <c r="E301">
        <f t="shared" si="31"/>
        <v>3</v>
      </c>
      <c r="F301" s="13">
        <f t="shared" si="32"/>
        <v>1</v>
      </c>
      <c r="G301" s="13">
        <f t="shared" si="33"/>
        <v>2</v>
      </c>
      <c r="H301" s="15" t="str">
        <f t="shared" si="34"/>
        <v/>
      </c>
      <c r="I301" s="14" t="str">
        <f t="shared" si="35"/>
        <v/>
      </c>
      <c r="J301" s="16" t="str">
        <f t="shared" si="36"/>
        <v/>
      </c>
      <c r="P301" t="str">
        <f t="shared" si="38"/>
        <v/>
      </c>
    </row>
    <row r="302" spans="1:16" x14ac:dyDescent="0.3">
      <c r="A302" s="1">
        <v>1300</v>
      </c>
      <c r="B302" s="2">
        <v>41296.504151880617</v>
      </c>
      <c r="C302" s="1">
        <v>7</v>
      </c>
      <c r="D302" s="1">
        <v>154</v>
      </c>
      <c r="E302">
        <f t="shared" si="31"/>
        <v>2</v>
      </c>
      <c r="F302" s="13">
        <f t="shared" si="32"/>
        <v>1</v>
      </c>
      <c r="G302" s="13">
        <f t="shared" si="33"/>
        <v>3</v>
      </c>
      <c r="H302" s="15" t="str">
        <f t="shared" si="34"/>
        <v/>
      </c>
      <c r="I302" s="14" t="str">
        <f t="shared" si="35"/>
        <v/>
      </c>
      <c r="J302" s="16" t="str">
        <f t="shared" si="36"/>
        <v/>
      </c>
      <c r="P302" t="str">
        <f t="shared" si="38"/>
        <v/>
      </c>
    </row>
    <row r="303" spans="1:16" x14ac:dyDescent="0.3">
      <c r="A303" s="1">
        <v>1301</v>
      </c>
      <c r="B303" s="2">
        <v>41164</v>
      </c>
      <c r="C303" s="1">
        <v>0</v>
      </c>
      <c r="D303" s="1">
        <v>0</v>
      </c>
      <c r="E303">
        <f t="shared" si="31"/>
        <v>4</v>
      </c>
      <c r="F303" s="13">
        <f t="shared" si="32"/>
        <v>4</v>
      </c>
      <c r="G303" s="13">
        <f t="shared" si="33"/>
        <v>5</v>
      </c>
      <c r="H303" s="15" t="str">
        <f t="shared" si="34"/>
        <v>Ignore</v>
      </c>
      <c r="I303" s="14" t="str">
        <f t="shared" si="35"/>
        <v/>
      </c>
      <c r="J303" s="16" t="str">
        <f t="shared" si="36"/>
        <v/>
      </c>
      <c r="P303" t="str">
        <f t="shared" si="38"/>
        <v>Ignore</v>
      </c>
    </row>
    <row r="304" spans="1:16" x14ac:dyDescent="0.3">
      <c r="A304" s="1">
        <v>1302</v>
      </c>
      <c r="B304" s="2">
        <v>41415</v>
      </c>
      <c r="C304" s="1">
        <v>9</v>
      </c>
      <c r="D304" s="1">
        <v>8</v>
      </c>
      <c r="E304">
        <f t="shared" si="31"/>
        <v>1</v>
      </c>
      <c r="F304" s="13">
        <f t="shared" si="32"/>
        <v>1</v>
      </c>
      <c r="G304" s="13">
        <f t="shared" si="33"/>
        <v>5</v>
      </c>
      <c r="H304" s="15" t="str">
        <f t="shared" si="34"/>
        <v/>
      </c>
      <c r="I304" s="14" t="str">
        <f t="shared" si="35"/>
        <v>Upsell</v>
      </c>
      <c r="J304" s="16" t="str">
        <f t="shared" si="36"/>
        <v/>
      </c>
      <c r="P304" t="str">
        <f t="shared" si="38"/>
        <v>Upsell</v>
      </c>
    </row>
    <row r="305" spans="1:16" x14ac:dyDescent="0.3">
      <c r="A305" s="1">
        <v>1303</v>
      </c>
      <c r="B305" s="2">
        <v>41164.910909474864</v>
      </c>
      <c r="C305" s="1">
        <v>9</v>
      </c>
      <c r="D305" s="1">
        <v>830</v>
      </c>
      <c r="E305">
        <f t="shared" si="31"/>
        <v>4</v>
      </c>
      <c r="F305" s="13">
        <f t="shared" si="32"/>
        <v>1</v>
      </c>
      <c r="G305" s="13">
        <f t="shared" si="33"/>
        <v>1</v>
      </c>
      <c r="H305" s="15" t="str">
        <f t="shared" si="34"/>
        <v/>
      </c>
      <c r="I305" s="14" t="str">
        <f t="shared" si="35"/>
        <v/>
      </c>
      <c r="J305" s="16" t="str">
        <f t="shared" si="36"/>
        <v>Contact</v>
      </c>
      <c r="P305" t="str">
        <f t="shared" si="38"/>
        <v>Contact</v>
      </c>
    </row>
    <row r="306" spans="1:16" x14ac:dyDescent="0.3">
      <c r="A306" s="1">
        <v>1304</v>
      </c>
      <c r="B306" s="2">
        <v>41132</v>
      </c>
      <c r="C306" s="1">
        <v>8</v>
      </c>
      <c r="D306" s="1">
        <v>850</v>
      </c>
      <c r="E306">
        <f t="shared" si="31"/>
        <v>4</v>
      </c>
      <c r="F306" s="13">
        <f t="shared" si="32"/>
        <v>1</v>
      </c>
      <c r="G306" s="13">
        <f t="shared" si="33"/>
        <v>1</v>
      </c>
      <c r="H306" s="15" t="str">
        <f t="shared" si="34"/>
        <v/>
      </c>
      <c r="I306" s="14" t="str">
        <f t="shared" si="35"/>
        <v/>
      </c>
      <c r="J306" s="16" t="str">
        <f t="shared" si="36"/>
        <v>Contact</v>
      </c>
      <c r="P306" t="str">
        <f t="shared" si="38"/>
        <v>Contact</v>
      </c>
    </row>
    <row r="307" spans="1:16" x14ac:dyDescent="0.3">
      <c r="A307" s="1">
        <v>1305</v>
      </c>
      <c r="B307" s="2">
        <v>41384</v>
      </c>
      <c r="C307" s="1">
        <v>8</v>
      </c>
      <c r="D307" s="1">
        <v>9</v>
      </c>
      <c r="E307">
        <f t="shared" si="31"/>
        <v>1</v>
      </c>
      <c r="F307" s="13">
        <f t="shared" si="32"/>
        <v>1</v>
      </c>
      <c r="G307" s="13">
        <f t="shared" si="33"/>
        <v>5</v>
      </c>
      <c r="H307" s="15" t="str">
        <f t="shared" si="34"/>
        <v/>
      </c>
      <c r="I307" s="14" t="str">
        <f t="shared" si="35"/>
        <v>Upsell</v>
      </c>
      <c r="J307" s="16" t="str">
        <f t="shared" si="36"/>
        <v/>
      </c>
      <c r="P307" t="str">
        <f t="shared" si="38"/>
        <v>Upsell</v>
      </c>
    </row>
    <row r="308" spans="1:16" x14ac:dyDescent="0.3">
      <c r="A308" s="1">
        <v>1306</v>
      </c>
      <c r="B308" s="2">
        <v>41134</v>
      </c>
      <c r="C308" s="1">
        <v>1</v>
      </c>
      <c r="D308" s="1">
        <v>1</v>
      </c>
      <c r="E308">
        <f t="shared" si="31"/>
        <v>4</v>
      </c>
      <c r="F308" s="13">
        <f t="shared" si="32"/>
        <v>4</v>
      </c>
      <c r="G308" s="13">
        <f t="shared" si="33"/>
        <v>5</v>
      </c>
      <c r="H308" s="15" t="str">
        <f t="shared" si="34"/>
        <v>Ignore</v>
      </c>
      <c r="I308" s="14" t="str">
        <f t="shared" si="35"/>
        <v/>
      </c>
      <c r="J308" s="16" t="str">
        <f t="shared" si="36"/>
        <v/>
      </c>
      <c r="P308" t="str">
        <f t="shared" si="38"/>
        <v>Ignore</v>
      </c>
    </row>
  </sheetData>
  <pageMargins left="0.75" right="0.75" top="1" bottom="1" header="0.5" footer="0.5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1CBD5-421A-4DBD-98DF-513B160CA76C}">
  <dimension ref="A3:B7"/>
  <sheetViews>
    <sheetView workbookViewId="0">
      <selection activeCell="D5" sqref="D5"/>
    </sheetView>
  </sheetViews>
  <sheetFormatPr defaultRowHeight="15.6" x14ac:dyDescent="0.3"/>
  <cols>
    <col min="1" max="1" width="12.19921875" bestFit="1" customWidth="1"/>
    <col min="2" max="2" width="21.3984375" bestFit="1" customWidth="1"/>
  </cols>
  <sheetData>
    <row r="3" spans="1:2" x14ac:dyDescent="0.3">
      <c r="A3" s="19" t="s">
        <v>15</v>
      </c>
      <c r="B3" t="s">
        <v>18</v>
      </c>
    </row>
    <row r="4" spans="1:2" x14ac:dyDescent="0.3">
      <c r="A4" s="20" t="s">
        <v>12</v>
      </c>
      <c r="B4" s="21">
        <v>25</v>
      </c>
    </row>
    <row r="5" spans="1:2" x14ac:dyDescent="0.3">
      <c r="A5" s="20" t="s">
        <v>10</v>
      </c>
      <c r="B5" s="21">
        <v>8</v>
      </c>
    </row>
    <row r="6" spans="1:2" x14ac:dyDescent="0.3">
      <c r="A6" s="20" t="s">
        <v>11</v>
      </c>
      <c r="B6" s="21">
        <v>34</v>
      </c>
    </row>
    <row r="7" spans="1:2" x14ac:dyDescent="0.3">
      <c r="A7" s="20" t="s">
        <v>16</v>
      </c>
      <c r="B7" s="21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RMF Analysis</vt:lpstr>
      <vt:lpstr>Segment Summary Pivot Table</vt:lpstr>
    </vt:vector>
  </TitlesOfParts>
  <Company>Coram Deo Media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Cuellar</dc:creator>
  <cp:lastModifiedBy>Jacob Fink</cp:lastModifiedBy>
  <dcterms:created xsi:type="dcterms:W3CDTF">2013-11-12T03:26:21Z</dcterms:created>
  <dcterms:modified xsi:type="dcterms:W3CDTF">2026-06-17T16:05:51Z</dcterms:modified>
</cp:coreProperties>
</file>